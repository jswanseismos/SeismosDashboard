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1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1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7.xml" ContentType="application/vnd.openxmlformats-officedocument.spreadsheetml.comments+xml"/>
  <Override PartName="/xl/drawings/drawing16.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8.xml" ContentType="application/vnd.openxmlformats-officedocument.spreadsheetml.comments+xml"/>
  <Override PartName="/xl/drawings/drawing1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9.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11.xml" ContentType="application/vnd.openxmlformats-officedocument.spreadsheetml.comments+xml"/>
  <Override PartName="/xl/drawings/drawing2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12.xml" ContentType="application/vnd.openxmlformats-officedocument.spreadsheetml.comments+xml"/>
  <Override PartName="/xl/drawings/drawing21.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3.xml" ContentType="application/vnd.openxmlformats-officedocument.spreadsheetml.comments+xml"/>
  <Override PartName="/xl/drawings/drawing22.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14.xml" ContentType="application/vnd.openxmlformats-officedocument.spreadsheetml.comment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omments15.xml" ContentType="application/vnd.openxmlformats-officedocument.spreadsheetml.comments+xml"/>
  <Override PartName="/xl/drawings/drawing2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16.xml" ContentType="application/vnd.openxmlformats-officedocument.spreadsheetml.comments+xml"/>
  <Override PartName="/xl/drawings/drawing25.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7.xml" ContentType="application/vnd.openxmlformats-officedocument.spreadsheetml.comments+xml"/>
  <Override PartName="/xl/drawings/drawing2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omments18.xml" ContentType="application/vnd.openxmlformats-officedocument.spreadsheetml.comments+xml"/>
  <Override PartName="/xl/drawings/drawing27.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19.xml" ContentType="application/vnd.openxmlformats-officedocument.spreadsheetml.comments+xml"/>
  <Override PartName="/xl/drawings/drawing28.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omments20.xml" ContentType="application/vnd.openxmlformats-officedocument.spreadsheetml.comments+xml"/>
  <Override PartName="/xl/drawings/drawing29.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21.xml" ContentType="application/vnd.openxmlformats-officedocument.spreadsheetml.comments+xml"/>
  <Override PartName="/xl/drawings/drawing3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22.xml" ContentType="application/vnd.openxmlformats-officedocument.spreadsheetml.comments+xml"/>
  <Override PartName="/xl/drawings/drawing31.xml" ContentType="application/vnd.openxmlformats-officedocument.drawing+xml"/>
  <Override PartName="/xl/comments2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66925"/>
  <mc:AlternateContent xmlns:mc="http://schemas.openxmlformats.org/markup-compatibility/2006">
    <mc:Choice Requires="x15">
      <x15ac:absPath xmlns:x15ac="http://schemas.microsoft.com/office/spreadsheetml/2010/11/ac" url="C:\Users\jswan\Downloads\"/>
    </mc:Choice>
  </mc:AlternateContent>
  <xr:revisionPtr revIDLastSave="0" documentId="10_ncr:8100000_{F61B3628-5934-4EEB-BEE5-3CEDA7CB0354}" xr6:coauthVersionLast="33" xr6:coauthVersionMax="33" xr10:uidLastSave="{00000000-0000-0000-0000-000000000000}"/>
  <bookViews>
    <workbookView xWindow="0" yWindow="0" windowWidth="28800" windowHeight="12225" tabRatio="927" xr2:uid="{00000000-000D-0000-FFFF-FFFF00000000}"/>
  </bookViews>
  <sheets>
    <sheet name="Pre Job" sheetId="116" r:id="rId1"/>
    <sheet name="Stage Generator" sheetId="28" r:id="rId2"/>
    <sheet name="Template" sheetId="50" state="veryHidden" r:id="rId3"/>
    <sheet name="Daily Log" sheetId="118" r:id="rId4"/>
    <sheet name="Well A Well Summary" sheetId="29" r:id="rId5"/>
    <sheet name="Well #2" sheetId="151" r:id="rId6"/>
    <sheet name="Well #3" sheetId="152" r:id="rId7"/>
    <sheet name="Well #4" sheetId="153" r:id="rId8"/>
    <sheet name="Well #5" sheetId="154" r:id="rId9"/>
    <sheet name="JSA" sheetId="119" r:id="rId10"/>
    <sheet name="Well A Stage 1" sheetId="156" r:id="rId11"/>
    <sheet name="Well A Stage 2" sheetId="157" r:id="rId12"/>
    <sheet name="Well A Stage 3" sheetId="158" r:id="rId13"/>
    <sheet name="Well A Stage 4" sheetId="159" r:id="rId14"/>
    <sheet name="Well A Stage 5" sheetId="160" r:id="rId15"/>
    <sheet name="Well A Stage 6" sheetId="161" r:id="rId16"/>
    <sheet name="Well A Stage 7" sheetId="162" r:id="rId17"/>
    <sheet name="Well A Stage 8" sheetId="163" r:id="rId18"/>
    <sheet name="Well A Stage 9" sheetId="164" r:id="rId19"/>
    <sheet name="Well A Stage 10" sheetId="165" r:id="rId20"/>
    <sheet name="Well A Stage 11" sheetId="166" r:id="rId21"/>
    <sheet name="Well A Stage 12" sheetId="167" r:id="rId22"/>
    <sheet name="Well A Stage 13" sheetId="168" r:id="rId23"/>
    <sheet name="Well A Stage 14" sheetId="169" r:id="rId24"/>
    <sheet name="Well A Stage 15" sheetId="170" r:id="rId25"/>
    <sheet name="Well A Stage 16" sheetId="171" r:id="rId26"/>
    <sheet name="Well A Stage 17" sheetId="172" r:id="rId27"/>
    <sheet name="Well A Stage 18" sheetId="173" r:id="rId28"/>
    <sheet name="Well A Stage 19" sheetId="174" r:id="rId29"/>
    <sheet name="Well A Stage 20" sheetId="175" r:id="rId30"/>
    <sheet name="Revision List" sheetId="155" state="veryHidden" r:id="rId31"/>
  </sheets>
  <externalReferences>
    <externalReference r:id="rId32"/>
    <externalReference r:id="rId33"/>
  </externalReferences>
  <definedNames>
    <definedName name="\P" localSheetId="3">#REF!</definedName>
    <definedName name="\P" localSheetId="9">#REF!</definedName>
    <definedName name="\P" localSheetId="30">#REF!</definedName>
    <definedName name="\P" localSheetId="5">#REF!</definedName>
    <definedName name="\P" localSheetId="6">#REF!</definedName>
    <definedName name="\P" localSheetId="7">#REF!</definedName>
    <definedName name="\P" localSheetId="8">#REF!</definedName>
    <definedName name="\P" localSheetId="10">#REF!</definedName>
    <definedName name="\P" localSheetId="19">#REF!</definedName>
    <definedName name="\P" localSheetId="20">#REF!</definedName>
    <definedName name="\P" localSheetId="21">#REF!</definedName>
    <definedName name="\P" localSheetId="22">#REF!</definedName>
    <definedName name="\P" localSheetId="23">#REF!</definedName>
    <definedName name="\P" localSheetId="24">#REF!</definedName>
    <definedName name="\P" localSheetId="25">#REF!</definedName>
    <definedName name="\P" localSheetId="26">#REF!</definedName>
    <definedName name="\P" localSheetId="27">#REF!</definedName>
    <definedName name="\P" localSheetId="28">#REF!</definedName>
    <definedName name="\P" localSheetId="11">#REF!</definedName>
    <definedName name="\P" localSheetId="29">#REF!</definedName>
    <definedName name="\P" localSheetId="12">#REF!</definedName>
    <definedName name="\P" localSheetId="13">#REF!</definedName>
    <definedName name="\P" localSheetId="14">#REF!</definedName>
    <definedName name="\P" localSheetId="15">#REF!</definedName>
    <definedName name="\P" localSheetId="16">#REF!</definedName>
    <definedName name="\P" localSheetId="17">#REF!</definedName>
    <definedName name="\P" localSheetId="18">#REF!</definedName>
    <definedName name="\P">#REF!</definedName>
    <definedName name="Acid">[1]Acid2!$A$1:$J$37</definedName>
    <definedName name="ALL" localSheetId="3">#REF!</definedName>
    <definedName name="ALL" localSheetId="9">#REF!</definedName>
    <definedName name="ALL" localSheetId="30">#REF!</definedName>
    <definedName name="ALL" localSheetId="5">#REF!</definedName>
    <definedName name="ALL" localSheetId="6">#REF!</definedName>
    <definedName name="ALL" localSheetId="7">#REF!</definedName>
    <definedName name="ALL" localSheetId="8">#REF!</definedName>
    <definedName name="ALL" localSheetId="10">#REF!</definedName>
    <definedName name="ALL" localSheetId="19">#REF!</definedName>
    <definedName name="ALL" localSheetId="20">#REF!</definedName>
    <definedName name="ALL" localSheetId="21">#REF!</definedName>
    <definedName name="ALL" localSheetId="22">#REF!</definedName>
    <definedName name="ALL" localSheetId="23">#REF!</definedName>
    <definedName name="ALL" localSheetId="24">#REF!</definedName>
    <definedName name="ALL" localSheetId="25">#REF!</definedName>
    <definedName name="ALL" localSheetId="26">#REF!</definedName>
    <definedName name="ALL" localSheetId="27">#REF!</definedName>
    <definedName name="ALL" localSheetId="28">#REF!</definedName>
    <definedName name="ALL" localSheetId="11">#REF!</definedName>
    <definedName name="ALL" localSheetId="29">#REF!</definedName>
    <definedName name="ALL" localSheetId="12">#REF!</definedName>
    <definedName name="ALL" localSheetId="13">#REF!</definedName>
    <definedName name="ALL" localSheetId="14">#REF!</definedName>
    <definedName name="ALL" localSheetId="15">#REF!</definedName>
    <definedName name="ALL" localSheetId="16">#REF!</definedName>
    <definedName name="ALL" localSheetId="17">#REF!</definedName>
    <definedName name="ALL" localSheetId="18">#REF!</definedName>
    <definedName name="ALL">#REF!</definedName>
    <definedName name="BI" localSheetId="3">#REF!</definedName>
    <definedName name="BI" localSheetId="9">#REF!</definedName>
    <definedName name="BI" localSheetId="30">#REF!</definedName>
    <definedName name="BI" localSheetId="5">#REF!</definedName>
    <definedName name="BI" localSheetId="6">#REF!</definedName>
    <definedName name="BI" localSheetId="7">#REF!</definedName>
    <definedName name="BI" localSheetId="8">#REF!</definedName>
    <definedName name="BI" localSheetId="10">#REF!</definedName>
    <definedName name="BI" localSheetId="19">#REF!</definedName>
    <definedName name="BI" localSheetId="20">#REF!</definedName>
    <definedName name="BI" localSheetId="21">#REF!</definedName>
    <definedName name="BI" localSheetId="22">#REF!</definedName>
    <definedName name="BI" localSheetId="23">#REF!</definedName>
    <definedName name="BI" localSheetId="24">#REF!</definedName>
    <definedName name="BI" localSheetId="25">#REF!</definedName>
    <definedName name="BI" localSheetId="26">#REF!</definedName>
    <definedName name="BI" localSheetId="27">#REF!</definedName>
    <definedName name="BI" localSheetId="28">#REF!</definedName>
    <definedName name="BI" localSheetId="11">#REF!</definedName>
    <definedName name="BI" localSheetId="29">#REF!</definedName>
    <definedName name="BI" localSheetId="12">#REF!</definedName>
    <definedName name="BI" localSheetId="13">#REF!</definedName>
    <definedName name="BI" localSheetId="14">#REF!</definedName>
    <definedName name="BI" localSheetId="15">#REF!</definedName>
    <definedName name="BI" localSheetId="16">#REF!</definedName>
    <definedName name="BI" localSheetId="17">#REF!</definedName>
    <definedName name="BI" localSheetId="18">#REF!</definedName>
    <definedName name="BI">#REF!</definedName>
    <definedName name="BID" localSheetId="3">#REF!</definedName>
    <definedName name="BID" localSheetId="9">#REF!</definedName>
    <definedName name="BID" localSheetId="30">#REF!</definedName>
    <definedName name="BID" localSheetId="5">#REF!</definedName>
    <definedName name="BID" localSheetId="6">#REF!</definedName>
    <definedName name="BID" localSheetId="7">#REF!</definedName>
    <definedName name="BID" localSheetId="8">#REF!</definedName>
    <definedName name="BID" localSheetId="10">#REF!</definedName>
    <definedName name="BID" localSheetId="19">#REF!</definedName>
    <definedName name="BID" localSheetId="20">#REF!</definedName>
    <definedName name="BID" localSheetId="21">#REF!</definedName>
    <definedName name="BID" localSheetId="22">#REF!</definedName>
    <definedName name="BID" localSheetId="23">#REF!</definedName>
    <definedName name="BID" localSheetId="24">#REF!</definedName>
    <definedName name="BID" localSheetId="25">#REF!</definedName>
    <definedName name="BID" localSheetId="26">#REF!</definedName>
    <definedName name="BID" localSheetId="27">#REF!</definedName>
    <definedName name="BID" localSheetId="28">#REF!</definedName>
    <definedName name="BID" localSheetId="11">#REF!</definedName>
    <definedName name="BID" localSheetId="29">#REF!</definedName>
    <definedName name="BID" localSheetId="12">#REF!</definedName>
    <definedName name="BID" localSheetId="13">#REF!</definedName>
    <definedName name="BID" localSheetId="14">#REF!</definedName>
    <definedName name="BID" localSheetId="15">#REF!</definedName>
    <definedName name="BID" localSheetId="16">#REF!</definedName>
    <definedName name="BID" localSheetId="17">#REF!</definedName>
    <definedName name="BID" localSheetId="18">#REF!</definedName>
    <definedName name="BID">#REF!</definedName>
    <definedName name="Burst" localSheetId="3">#REF!</definedName>
    <definedName name="Burst" localSheetId="9">#REF!</definedName>
    <definedName name="Burst" localSheetId="30">#REF!</definedName>
    <definedName name="Burst" localSheetId="5">#REF!</definedName>
    <definedName name="Burst" localSheetId="6">#REF!</definedName>
    <definedName name="Burst" localSheetId="7">#REF!</definedName>
    <definedName name="Burst" localSheetId="8">#REF!</definedName>
    <definedName name="Burst" localSheetId="10">#REF!</definedName>
    <definedName name="Burst" localSheetId="19">#REF!</definedName>
    <definedName name="Burst" localSheetId="20">#REF!</definedName>
    <definedName name="Burst" localSheetId="21">#REF!</definedName>
    <definedName name="Burst" localSheetId="22">#REF!</definedName>
    <definedName name="Burst" localSheetId="23">#REF!</definedName>
    <definedName name="Burst" localSheetId="24">#REF!</definedName>
    <definedName name="Burst" localSheetId="25">#REF!</definedName>
    <definedName name="Burst" localSheetId="26">#REF!</definedName>
    <definedName name="Burst" localSheetId="27">#REF!</definedName>
    <definedName name="Burst" localSheetId="28">#REF!</definedName>
    <definedName name="Burst" localSheetId="11">#REF!</definedName>
    <definedName name="Burst" localSheetId="29">#REF!</definedName>
    <definedName name="Burst" localSheetId="12">#REF!</definedName>
    <definedName name="Burst" localSheetId="13">#REF!</definedName>
    <definedName name="Burst" localSheetId="14">#REF!</definedName>
    <definedName name="Burst" localSheetId="15">#REF!</definedName>
    <definedName name="Burst" localSheetId="16">#REF!</definedName>
    <definedName name="Burst" localSheetId="17">#REF!</definedName>
    <definedName name="Burst" localSheetId="18">#REF!</definedName>
    <definedName name="Burst">#REF!</definedName>
    <definedName name="Capacity" localSheetId="3">#REF!</definedName>
    <definedName name="Capacity" localSheetId="9">#REF!</definedName>
    <definedName name="Capacity" localSheetId="30">#REF!</definedName>
    <definedName name="Capacity" localSheetId="5">#REF!</definedName>
    <definedName name="Capacity" localSheetId="6">#REF!</definedName>
    <definedName name="Capacity" localSheetId="7">#REF!</definedName>
    <definedName name="Capacity" localSheetId="8">#REF!</definedName>
    <definedName name="Capacity" localSheetId="10">#REF!</definedName>
    <definedName name="Capacity" localSheetId="19">#REF!</definedName>
    <definedName name="Capacity" localSheetId="20">#REF!</definedName>
    <definedName name="Capacity" localSheetId="21">#REF!</definedName>
    <definedName name="Capacity" localSheetId="22">#REF!</definedName>
    <definedName name="Capacity" localSheetId="23">#REF!</definedName>
    <definedName name="Capacity" localSheetId="24">#REF!</definedName>
    <definedName name="Capacity" localSheetId="25">#REF!</definedName>
    <definedName name="Capacity" localSheetId="26">#REF!</definedName>
    <definedName name="Capacity" localSheetId="27">#REF!</definedName>
    <definedName name="Capacity" localSheetId="28">#REF!</definedName>
    <definedName name="Capacity" localSheetId="11">#REF!</definedName>
    <definedName name="Capacity" localSheetId="29">#REF!</definedName>
    <definedName name="Capacity" localSheetId="12">#REF!</definedName>
    <definedName name="Capacity" localSheetId="13">#REF!</definedName>
    <definedName name="Capacity" localSheetId="14">#REF!</definedName>
    <definedName name="Capacity" localSheetId="15">#REF!</definedName>
    <definedName name="Capacity" localSheetId="16">#REF!</definedName>
    <definedName name="Capacity" localSheetId="17">#REF!</definedName>
    <definedName name="Capacity" localSheetId="18">#REF!</definedName>
    <definedName name="Capacity">#REF!</definedName>
    <definedName name="Collapse" localSheetId="3">#REF!</definedName>
    <definedName name="Collapse" localSheetId="9">#REF!</definedName>
    <definedName name="Collapse" localSheetId="30">#REF!</definedName>
    <definedName name="Collapse" localSheetId="5">#REF!</definedName>
    <definedName name="Collapse" localSheetId="6">#REF!</definedName>
    <definedName name="Collapse" localSheetId="7">#REF!</definedName>
    <definedName name="Collapse" localSheetId="8">#REF!</definedName>
    <definedName name="Collapse" localSheetId="10">#REF!</definedName>
    <definedName name="Collapse" localSheetId="19">#REF!</definedName>
    <definedName name="Collapse" localSheetId="20">#REF!</definedName>
    <definedName name="Collapse" localSheetId="21">#REF!</definedName>
    <definedName name="Collapse" localSheetId="22">#REF!</definedName>
    <definedName name="Collapse" localSheetId="23">#REF!</definedName>
    <definedName name="Collapse" localSheetId="24">#REF!</definedName>
    <definedName name="Collapse" localSheetId="25">#REF!</definedName>
    <definedName name="Collapse" localSheetId="26">#REF!</definedName>
    <definedName name="Collapse" localSheetId="27">#REF!</definedName>
    <definedName name="Collapse" localSheetId="28">#REF!</definedName>
    <definedName name="Collapse" localSheetId="11">#REF!</definedName>
    <definedName name="Collapse" localSheetId="29">#REF!</definedName>
    <definedName name="Collapse" localSheetId="12">#REF!</definedName>
    <definedName name="Collapse" localSheetId="13">#REF!</definedName>
    <definedName name="Collapse" localSheetId="14">#REF!</definedName>
    <definedName name="Collapse" localSheetId="15">#REF!</definedName>
    <definedName name="Collapse" localSheetId="16">#REF!</definedName>
    <definedName name="Collapse" localSheetId="17">#REF!</definedName>
    <definedName name="Collapse" localSheetId="18">#REF!</definedName>
    <definedName name="Collapse">#REF!</definedName>
    <definedName name="Company_Name">'Stage Generator'!$D$10</definedName>
    <definedName name="CONTINUE" localSheetId="3">#REF!</definedName>
    <definedName name="CONTINUE" localSheetId="9">#REF!</definedName>
    <definedName name="CONTINUE" localSheetId="30">#REF!</definedName>
    <definedName name="CONTINUE" localSheetId="5">#REF!</definedName>
    <definedName name="CONTINUE" localSheetId="6">#REF!</definedName>
    <definedName name="CONTINUE" localSheetId="7">#REF!</definedName>
    <definedName name="CONTINUE" localSheetId="8">#REF!</definedName>
    <definedName name="CONTINUE" localSheetId="10">#REF!</definedName>
    <definedName name="CONTINUE" localSheetId="19">#REF!</definedName>
    <definedName name="CONTINUE" localSheetId="20">#REF!</definedName>
    <definedName name="CONTINUE" localSheetId="21">#REF!</definedName>
    <definedName name="CONTINUE" localSheetId="22">#REF!</definedName>
    <definedName name="CONTINUE" localSheetId="23">#REF!</definedName>
    <definedName name="CONTINUE" localSheetId="24">#REF!</definedName>
    <definedName name="CONTINUE" localSheetId="25">#REF!</definedName>
    <definedName name="CONTINUE" localSheetId="26">#REF!</definedName>
    <definedName name="CONTINUE" localSheetId="27">#REF!</definedName>
    <definedName name="CONTINUE" localSheetId="28">#REF!</definedName>
    <definedName name="CONTINUE" localSheetId="11">#REF!</definedName>
    <definedName name="CONTINUE" localSheetId="29">#REF!</definedName>
    <definedName name="CONTINUE" localSheetId="12">#REF!</definedName>
    <definedName name="CONTINUE" localSheetId="13">#REF!</definedName>
    <definedName name="CONTINUE" localSheetId="14">#REF!</definedName>
    <definedName name="CONTINUE" localSheetId="15">#REF!</definedName>
    <definedName name="CONTINUE" localSheetId="16">#REF!</definedName>
    <definedName name="CONTINUE" localSheetId="17">#REF!</definedName>
    <definedName name="CONTINUE" localSheetId="18">#REF!</definedName>
    <definedName name="CONTINUE">#REF!</definedName>
    <definedName name="Drift" localSheetId="3">#REF!</definedName>
    <definedName name="Drift" localSheetId="9">#REF!</definedName>
    <definedName name="Drift" localSheetId="30">#REF!</definedName>
    <definedName name="Drift" localSheetId="5">#REF!</definedName>
    <definedName name="Drift" localSheetId="6">#REF!</definedName>
    <definedName name="Drift" localSheetId="7">#REF!</definedName>
    <definedName name="Drift" localSheetId="8">#REF!</definedName>
    <definedName name="Drift" localSheetId="10">#REF!</definedName>
    <definedName name="Drift" localSheetId="19">#REF!</definedName>
    <definedName name="Drift" localSheetId="20">#REF!</definedName>
    <definedName name="Drift" localSheetId="21">#REF!</definedName>
    <definedName name="Drift" localSheetId="22">#REF!</definedName>
    <definedName name="Drift" localSheetId="23">#REF!</definedName>
    <definedName name="Drift" localSheetId="24">#REF!</definedName>
    <definedName name="Drift" localSheetId="25">#REF!</definedName>
    <definedName name="Drift" localSheetId="26">#REF!</definedName>
    <definedName name="Drift" localSheetId="27">#REF!</definedName>
    <definedName name="Drift" localSheetId="28">#REF!</definedName>
    <definedName name="Drift" localSheetId="11">#REF!</definedName>
    <definedName name="Drift" localSheetId="29">#REF!</definedName>
    <definedName name="Drift" localSheetId="12">#REF!</definedName>
    <definedName name="Drift" localSheetId="13">#REF!</definedName>
    <definedName name="Drift" localSheetId="14">#REF!</definedName>
    <definedName name="Drift" localSheetId="15">#REF!</definedName>
    <definedName name="Drift" localSheetId="16">#REF!</definedName>
    <definedName name="Drift" localSheetId="17">#REF!</definedName>
    <definedName name="Drift" localSheetId="18">#REF!</definedName>
    <definedName name="Drift">#REF!</definedName>
    <definedName name="Field_Engineer" localSheetId="3">'Stage Generator'!#REF!</definedName>
    <definedName name="Field_Engineer" localSheetId="30">'Stage Generator'!#REF!</definedName>
    <definedName name="Field_Engineer" localSheetId="5">'Stage Generator'!#REF!</definedName>
    <definedName name="Field_Engineer" localSheetId="6">'Stage Generator'!#REF!</definedName>
    <definedName name="Field_Engineer" localSheetId="7">'Stage Generator'!#REF!</definedName>
    <definedName name="Field_Engineer" localSheetId="8">'Stage Generator'!#REF!</definedName>
    <definedName name="Field_Engineer" localSheetId="10">'Stage Generator'!#REF!</definedName>
    <definedName name="Field_Engineer" localSheetId="19">'Stage Generator'!#REF!</definedName>
    <definedName name="Field_Engineer" localSheetId="20">'Stage Generator'!#REF!</definedName>
    <definedName name="Field_Engineer" localSheetId="21">'Stage Generator'!#REF!</definedName>
    <definedName name="Field_Engineer" localSheetId="22">'Stage Generator'!#REF!</definedName>
    <definedName name="Field_Engineer" localSheetId="23">'Stage Generator'!#REF!</definedName>
    <definedName name="Field_Engineer" localSheetId="24">'Stage Generator'!#REF!</definedName>
    <definedName name="Field_Engineer" localSheetId="25">'Stage Generator'!#REF!</definedName>
    <definedName name="Field_Engineer" localSheetId="26">'Stage Generator'!#REF!</definedName>
    <definedName name="Field_Engineer" localSheetId="27">'Stage Generator'!#REF!</definedName>
    <definedName name="Field_Engineer" localSheetId="28">'Stage Generator'!#REF!</definedName>
    <definedName name="Field_Engineer" localSheetId="11">'Stage Generator'!#REF!</definedName>
    <definedName name="Field_Engineer" localSheetId="29">'Stage Generator'!#REF!</definedName>
    <definedName name="Field_Engineer" localSheetId="12">'Stage Generator'!#REF!</definedName>
    <definedName name="Field_Engineer" localSheetId="13">'Stage Generator'!#REF!</definedName>
    <definedName name="Field_Engineer" localSheetId="14">'Stage Generator'!#REF!</definedName>
    <definedName name="Field_Engineer" localSheetId="15">'Stage Generator'!#REF!</definedName>
    <definedName name="Field_Engineer" localSheetId="16">'Stage Generator'!#REF!</definedName>
    <definedName name="Field_Engineer" localSheetId="17">'Stage Generator'!#REF!</definedName>
    <definedName name="Field_Engineer" localSheetId="18">'Stage Generator'!#REF!</definedName>
    <definedName name="Field_Engineer">'Stage Generator'!#REF!</definedName>
    <definedName name="FLU" localSheetId="3">#REF!</definedName>
    <definedName name="FLU" localSheetId="9">#REF!</definedName>
    <definedName name="FLU" localSheetId="30">#REF!</definedName>
    <definedName name="FLU" localSheetId="5">#REF!</definedName>
    <definedName name="FLU" localSheetId="6">#REF!</definedName>
    <definedName name="FLU" localSheetId="7">#REF!</definedName>
    <definedName name="FLU" localSheetId="8">#REF!</definedName>
    <definedName name="FLU" localSheetId="10">#REF!</definedName>
    <definedName name="FLU" localSheetId="19">#REF!</definedName>
    <definedName name="FLU" localSheetId="20">#REF!</definedName>
    <definedName name="FLU" localSheetId="21">#REF!</definedName>
    <definedName name="FLU" localSheetId="22">#REF!</definedName>
    <definedName name="FLU" localSheetId="23">#REF!</definedName>
    <definedName name="FLU" localSheetId="24">#REF!</definedName>
    <definedName name="FLU" localSheetId="25">#REF!</definedName>
    <definedName name="FLU" localSheetId="26">#REF!</definedName>
    <definedName name="FLU" localSheetId="27">#REF!</definedName>
    <definedName name="FLU" localSheetId="28">#REF!</definedName>
    <definedName name="FLU" localSheetId="11">#REF!</definedName>
    <definedName name="FLU" localSheetId="29">#REF!</definedName>
    <definedName name="FLU" localSheetId="12">#REF!</definedName>
    <definedName name="FLU" localSheetId="13">#REF!</definedName>
    <definedName name="FLU" localSheetId="14">#REF!</definedName>
    <definedName name="FLU" localSheetId="15">#REF!</definedName>
    <definedName name="FLU" localSheetId="16">#REF!</definedName>
    <definedName name="FLU" localSheetId="17">#REF!</definedName>
    <definedName name="FLU" localSheetId="18">#REF!</definedName>
    <definedName name="FLU">#REF!</definedName>
    <definedName name="HEAD" localSheetId="3">#REF!</definedName>
    <definedName name="HEAD" localSheetId="9">#REF!</definedName>
    <definedName name="HEAD" localSheetId="30">#REF!</definedName>
    <definedName name="HEAD" localSheetId="5">#REF!</definedName>
    <definedName name="HEAD" localSheetId="6">#REF!</definedName>
    <definedName name="HEAD" localSheetId="7">#REF!</definedName>
    <definedName name="HEAD" localSheetId="8">#REF!</definedName>
    <definedName name="HEAD" localSheetId="10">#REF!</definedName>
    <definedName name="HEAD" localSheetId="19">#REF!</definedName>
    <definedName name="HEAD" localSheetId="20">#REF!</definedName>
    <definedName name="HEAD" localSheetId="21">#REF!</definedName>
    <definedName name="HEAD" localSheetId="22">#REF!</definedName>
    <definedName name="HEAD" localSheetId="23">#REF!</definedName>
    <definedName name="HEAD" localSheetId="24">#REF!</definedName>
    <definedName name="HEAD" localSheetId="25">#REF!</definedName>
    <definedName name="HEAD" localSheetId="26">#REF!</definedName>
    <definedName name="HEAD" localSheetId="27">#REF!</definedName>
    <definedName name="HEAD" localSheetId="28">#REF!</definedName>
    <definedName name="HEAD" localSheetId="11">#REF!</definedName>
    <definedName name="HEAD" localSheetId="29">#REF!</definedName>
    <definedName name="HEAD" localSheetId="12">#REF!</definedName>
    <definedName name="HEAD" localSheetId="13">#REF!</definedName>
    <definedName name="HEAD" localSheetId="14">#REF!</definedName>
    <definedName name="HEAD" localSheetId="15">#REF!</definedName>
    <definedName name="HEAD" localSheetId="16">#REF!</definedName>
    <definedName name="HEAD" localSheetId="17">#REF!</definedName>
    <definedName name="HEAD" localSheetId="18">#REF!</definedName>
    <definedName name="HEAD">#REF!</definedName>
    <definedName name="HEADER" localSheetId="3">#REF!</definedName>
    <definedName name="HEADER" localSheetId="9">#REF!</definedName>
    <definedName name="HEADER" localSheetId="30">#REF!</definedName>
    <definedName name="HEADER" localSheetId="5">#REF!</definedName>
    <definedName name="HEADER" localSheetId="6">#REF!</definedName>
    <definedName name="HEADER" localSheetId="7">#REF!</definedName>
    <definedName name="HEADER" localSheetId="8">#REF!</definedName>
    <definedName name="HEADER" localSheetId="10">#REF!</definedName>
    <definedName name="HEADER" localSheetId="19">#REF!</definedName>
    <definedName name="HEADER" localSheetId="20">#REF!</definedName>
    <definedName name="HEADER" localSheetId="21">#REF!</definedName>
    <definedName name="HEADER" localSheetId="22">#REF!</definedName>
    <definedName name="HEADER" localSheetId="23">#REF!</definedName>
    <definedName name="HEADER" localSheetId="24">#REF!</definedName>
    <definedName name="HEADER" localSheetId="25">#REF!</definedName>
    <definedName name="HEADER" localSheetId="26">#REF!</definedName>
    <definedName name="HEADER" localSheetId="27">#REF!</definedName>
    <definedName name="HEADER" localSheetId="28">#REF!</definedName>
    <definedName name="HEADER" localSheetId="11">#REF!</definedName>
    <definedName name="HEADER" localSheetId="29">#REF!</definedName>
    <definedName name="HEADER" localSheetId="12">#REF!</definedName>
    <definedName name="HEADER" localSheetId="13">#REF!</definedName>
    <definedName name="HEADER" localSheetId="14">#REF!</definedName>
    <definedName name="HEADER" localSheetId="15">#REF!</definedName>
    <definedName name="HEADER" localSheetId="16">#REF!</definedName>
    <definedName name="HEADER" localSheetId="17">#REF!</definedName>
    <definedName name="HEADER" localSheetId="18">#REF!</definedName>
    <definedName name="HEADER">#REF!</definedName>
    <definedName name="Horizontal2" localSheetId="3">#REF!</definedName>
    <definedName name="Horizontal2" localSheetId="9">#REF!</definedName>
    <definedName name="Horizontal2" localSheetId="30">#REF!</definedName>
    <definedName name="Horizontal2" localSheetId="5">#REF!</definedName>
    <definedName name="Horizontal2" localSheetId="6">#REF!</definedName>
    <definedName name="Horizontal2" localSheetId="7">#REF!</definedName>
    <definedName name="Horizontal2" localSheetId="8">#REF!</definedName>
    <definedName name="Horizontal2" localSheetId="10">#REF!</definedName>
    <definedName name="Horizontal2" localSheetId="19">#REF!</definedName>
    <definedName name="Horizontal2" localSheetId="20">#REF!</definedName>
    <definedName name="Horizontal2" localSheetId="21">#REF!</definedName>
    <definedName name="Horizontal2" localSheetId="22">#REF!</definedName>
    <definedName name="Horizontal2" localSheetId="23">#REF!</definedName>
    <definedName name="Horizontal2" localSheetId="24">#REF!</definedName>
    <definedName name="Horizontal2" localSheetId="25">#REF!</definedName>
    <definedName name="Horizontal2" localSheetId="26">#REF!</definedName>
    <definedName name="Horizontal2" localSheetId="27">#REF!</definedName>
    <definedName name="Horizontal2" localSheetId="28">#REF!</definedName>
    <definedName name="Horizontal2" localSheetId="11">#REF!</definedName>
    <definedName name="Horizontal2" localSheetId="29">#REF!</definedName>
    <definedName name="Horizontal2" localSheetId="12">#REF!</definedName>
    <definedName name="Horizontal2" localSheetId="13">#REF!</definedName>
    <definedName name="Horizontal2" localSheetId="14">#REF!</definedName>
    <definedName name="Horizontal2" localSheetId="15">#REF!</definedName>
    <definedName name="Horizontal2" localSheetId="16">#REF!</definedName>
    <definedName name="Horizontal2" localSheetId="17">#REF!</definedName>
    <definedName name="Horizontal2" localSheetId="18">#REF!</definedName>
    <definedName name="Horizontal2">#REF!</definedName>
    <definedName name="ID" localSheetId="3">#REF!</definedName>
    <definedName name="ID" localSheetId="9">#REF!</definedName>
    <definedName name="ID" localSheetId="30">#REF!</definedName>
    <definedName name="ID" localSheetId="5">#REF!</definedName>
    <definedName name="ID" localSheetId="6">#REF!</definedName>
    <definedName name="ID" localSheetId="7">#REF!</definedName>
    <definedName name="ID" localSheetId="8">#REF!</definedName>
    <definedName name="ID" localSheetId="10">#REF!</definedName>
    <definedName name="ID" localSheetId="19">#REF!</definedName>
    <definedName name="ID" localSheetId="20">#REF!</definedName>
    <definedName name="ID" localSheetId="21">#REF!</definedName>
    <definedName name="ID" localSheetId="22">#REF!</definedName>
    <definedName name="ID" localSheetId="23">#REF!</definedName>
    <definedName name="ID" localSheetId="24">#REF!</definedName>
    <definedName name="ID" localSheetId="25">#REF!</definedName>
    <definedName name="ID" localSheetId="26">#REF!</definedName>
    <definedName name="ID" localSheetId="27">#REF!</definedName>
    <definedName name="ID" localSheetId="28">#REF!</definedName>
    <definedName name="ID" localSheetId="11">#REF!</definedName>
    <definedName name="ID" localSheetId="29">#REF!</definedName>
    <definedName name="ID" localSheetId="12">#REF!</definedName>
    <definedName name="ID" localSheetId="13">#REF!</definedName>
    <definedName name="ID" localSheetId="14">#REF!</definedName>
    <definedName name="ID" localSheetId="15">#REF!</definedName>
    <definedName name="ID" localSheetId="16">#REF!</definedName>
    <definedName name="ID" localSheetId="17">#REF!</definedName>
    <definedName name="ID" localSheetId="18">#REF!</definedName>
    <definedName name="ID">#REF!</definedName>
    <definedName name="jhkj" localSheetId="30">#REF!</definedName>
    <definedName name="jhkj" localSheetId="5">#REF!</definedName>
    <definedName name="jhkj" localSheetId="6">#REF!</definedName>
    <definedName name="jhkj" localSheetId="7">#REF!</definedName>
    <definedName name="jhkj" localSheetId="8">#REF!</definedName>
    <definedName name="jhkj" localSheetId="10">#REF!</definedName>
    <definedName name="jhkj" localSheetId="19">#REF!</definedName>
    <definedName name="jhkj" localSheetId="20">#REF!</definedName>
    <definedName name="jhkj" localSheetId="21">#REF!</definedName>
    <definedName name="jhkj" localSheetId="22">#REF!</definedName>
    <definedName name="jhkj" localSheetId="23">#REF!</definedName>
    <definedName name="jhkj" localSheetId="24">#REF!</definedName>
    <definedName name="jhkj" localSheetId="25">#REF!</definedName>
    <definedName name="jhkj" localSheetId="26">#REF!</definedName>
    <definedName name="jhkj" localSheetId="27">#REF!</definedName>
    <definedName name="jhkj" localSheetId="28">#REF!</definedName>
    <definedName name="jhkj" localSheetId="11">#REF!</definedName>
    <definedName name="jhkj" localSheetId="29">#REF!</definedName>
    <definedName name="jhkj" localSheetId="12">#REF!</definedName>
    <definedName name="jhkj" localSheetId="13">#REF!</definedName>
    <definedName name="jhkj" localSheetId="14">#REF!</definedName>
    <definedName name="jhkj" localSheetId="15">#REF!</definedName>
    <definedName name="jhkj" localSheetId="16">#REF!</definedName>
    <definedName name="jhkj" localSheetId="17">#REF!</definedName>
    <definedName name="jhkj" localSheetId="18">#REF!</definedName>
    <definedName name="jhkj">#REF!</definedName>
    <definedName name="material" localSheetId="3">#REF!</definedName>
    <definedName name="material" localSheetId="9">#REF!</definedName>
    <definedName name="material" localSheetId="30">#REF!</definedName>
    <definedName name="material" localSheetId="5">#REF!</definedName>
    <definedName name="material" localSheetId="6">#REF!</definedName>
    <definedName name="material" localSheetId="7">#REF!</definedName>
    <definedName name="material" localSheetId="8">#REF!</definedName>
    <definedName name="material" localSheetId="10">#REF!</definedName>
    <definedName name="material" localSheetId="19">#REF!</definedName>
    <definedName name="material" localSheetId="20">#REF!</definedName>
    <definedName name="material" localSheetId="21">#REF!</definedName>
    <definedName name="material" localSheetId="22">#REF!</definedName>
    <definedName name="material" localSheetId="23">#REF!</definedName>
    <definedName name="material" localSheetId="24">#REF!</definedName>
    <definedName name="material" localSheetId="25">#REF!</definedName>
    <definedName name="material" localSheetId="26">#REF!</definedName>
    <definedName name="material" localSheetId="27">#REF!</definedName>
    <definedName name="material" localSheetId="28">#REF!</definedName>
    <definedName name="material" localSheetId="11">#REF!</definedName>
    <definedName name="material" localSheetId="29">#REF!</definedName>
    <definedName name="material" localSheetId="12">#REF!</definedName>
    <definedName name="material" localSheetId="13">#REF!</definedName>
    <definedName name="material" localSheetId="14">#REF!</definedName>
    <definedName name="material" localSheetId="15">#REF!</definedName>
    <definedName name="material" localSheetId="16">#REF!</definedName>
    <definedName name="material" localSheetId="17">#REF!</definedName>
    <definedName name="material" localSheetId="18">#REF!</definedName>
    <definedName name="material">#REF!</definedName>
    <definedName name="PipeData">[2]PRICEVR1!$A$4:$D$14</definedName>
    <definedName name="_xlnm.Print_Area" localSheetId="3">'Daily Log'!$A$1:$M$61</definedName>
    <definedName name="_xlnm.Print_Area" localSheetId="0">'Pre Job'!$A$1:$M$61</definedName>
    <definedName name="_xlnm.Print_Area" localSheetId="30">'Revision List'!$A$1:$M$61</definedName>
    <definedName name="_xlnm.Print_Area" localSheetId="1">'Stage Generator'!$A$1:$M$47</definedName>
    <definedName name="_xlnm.Print_Area" localSheetId="2">Template!$A$1:$M$79</definedName>
    <definedName name="_xlnm.Print_Area" localSheetId="5">'Well #2'!$A$1:$AG$86</definedName>
    <definedName name="_xlnm.Print_Area" localSheetId="6">'Well #3'!$A$1:$AG$86</definedName>
    <definedName name="_xlnm.Print_Area" localSheetId="7">'Well #4'!$A$1:$AG$86</definedName>
    <definedName name="_xlnm.Print_Area" localSheetId="8">'Well #5'!$A$1:$AG$86</definedName>
    <definedName name="_xlnm.Print_Area" localSheetId="10">'Well A Stage 1'!$A$1:$M$79</definedName>
    <definedName name="_xlnm.Print_Area" localSheetId="19">'Well A Stage 10'!$A$1:$M$79</definedName>
    <definedName name="_xlnm.Print_Area" localSheetId="20">'Well A Stage 11'!$A$1:$M$79</definedName>
    <definedName name="_xlnm.Print_Area" localSheetId="21">'Well A Stage 12'!$A$1:$M$79</definedName>
    <definedName name="_xlnm.Print_Area" localSheetId="22">'Well A Stage 13'!$A$1:$M$79</definedName>
    <definedName name="_xlnm.Print_Area" localSheetId="23">'Well A Stage 14'!$A$1:$M$79</definedName>
    <definedName name="_xlnm.Print_Area" localSheetId="24">'Well A Stage 15'!$A$1:$M$79</definedName>
    <definedName name="_xlnm.Print_Area" localSheetId="25">'Well A Stage 16'!$A$1:$M$79</definedName>
    <definedName name="_xlnm.Print_Area" localSheetId="26">'Well A Stage 17'!$A$1:$M$79</definedName>
    <definedName name="_xlnm.Print_Area" localSheetId="27">'Well A Stage 18'!$A$1:$M$79</definedName>
    <definedName name="_xlnm.Print_Area" localSheetId="28">'Well A Stage 19'!$A$1:$M$79</definedName>
    <definedName name="_xlnm.Print_Area" localSheetId="11">'Well A Stage 2'!$A$1:$M$79</definedName>
    <definedName name="_xlnm.Print_Area" localSheetId="29">'Well A Stage 20'!$A$1:$M$79</definedName>
    <definedName name="_xlnm.Print_Area" localSheetId="12">'Well A Stage 3'!$A$1:$M$79</definedName>
    <definedName name="_xlnm.Print_Area" localSheetId="13">'Well A Stage 4'!$A$1:$M$79</definedName>
    <definedName name="_xlnm.Print_Area" localSheetId="14">'Well A Stage 5'!$A$1:$M$79</definedName>
    <definedName name="_xlnm.Print_Area" localSheetId="15">'Well A Stage 6'!$A$1:$M$79</definedName>
    <definedName name="_xlnm.Print_Area" localSheetId="16">'Well A Stage 7'!$A$1:$M$79</definedName>
    <definedName name="_xlnm.Print_Area" localSheetId="17">'Well A Stage 8'!$A$1:$M$79</definedName>
    <definedName name="_xlnm.Print_Area" localSheetId="18">'Well A Stage 9'!$A$1:$M$79</definedName>
    <definedName name="_xlnm.Print_Area" localSheetId="4">'Well A Well Summary'!$A$1:$AG$86</definedName>
    <definedName name="PRINTMENU" localSheetId="3">#REF!</definedName>
    <definedName name="PRINTMENU" localSheetId="9">#REF!</definedName>
    <definedName name="PRINTMENU" localSheetId="30">#REF!</definedName>
    <definedName name="PRINTMENU" localSheetId="5">#REF!</definedName>
    <definedName name="PRINTMENU" localSheetId="6">#REF!</definedName>
    <definedName name="PRINTMENU" localSheetId="7">#REF!</definedName>
    <definedName name="PRINTMENU" localSheetId="8">#REF!</definedName>
    <definedName name="PRINTMENU" localSheetId="10">#REF!</definedName>
    <definedName name="PRINTMENU" localSheetId="19">#REF!</definedName>
    <definedName name="PRINTMENU" localSheetId="20">#REF!</definedName>
    <definedName name="PRINTMENU" localSheetId="21">#REF!</definedName>
    <definedName name="PRINTMENU" localSheetId="22">#REF!</definedName>
    <definedName name="PRINTMENU" localSheetId="23">#REF!</definedName>
    <definedName name="PRINTMENU" localSheetId="24">#REF!</definedName>
    <definedName name="PRINTMENU" localSheetId="25">#REF!</definedName>
    <definedName name="PRINTMENU" localSheetId="26">#REF!</definedName>
    <definedName name="PRINTMENU" localSheetId="27">#REF!</definedName>
    <definedName name="PRINTMENU" localSheetId="28">#REF!</definedName>
    <definedName name="PRINTMENU" localSheetId="11">#REF!</definedName>
    <definedName name="PRINTMENU" localSheetId="29">#REF!</definedName>
    <definedName name="PRINTMENU" localSheetId="12">#REF!</definedName>
    <definedName name="PRINTMENU" localSheetId="13">#REF!</definedName>
    <definedName name="PRINTMENU" localSheetId="14">#REF!</definedName>
    <definedName name="PRINTMENU" localSheetId="15">#REF!</definedName>
    <definedName name="PRINTMENU" localSheetId="16">#REF!</definedName>
    <definedName name="PRINTMENU" localSheetId="17">#REF!</definedName>
    <definedName name="PRINTMENU" localSheetId="18">#REF!</definedName>
    <definedName name="PRINTMENU">#REF!</definedName>
    <definedName name="PUM" localSheetId="3">#REF!</definedName>
    <definedName name="PUM" localSheetId="9">#REF!</definedName>
    <definedName name="PUM" localSheetId="30">#REF!</definedName>
    <definedName name="PUM" localSheetId="5">#REF!</definedName>
    <definedName name="PUM" localSheetId="6">#REF!</definedName>
    <definedName name="PUM" localSheetId="7">#REF!</definedName>
    <definedName name="PUM" localSheetId="8">#REF!</definedName>
    <definedName name="PUM" localSheetId="10">#REF!</definedName>
    <definedName name="PUM" localSheetId="19">#REF!</definedName>
    <definedName name="PUM" localSheetId="20">#REF!</definedName>
    <definedName name="PUM" localSheetId="21">#REF!</definedName>
    <definedName name="PUM" localSheetId="22">#REF!</definedName>
    <definedName name="PUM" localSheetId="23">#REF!</definedName>
    <definedName name="PUM" localSheetId="24">#REF!</definedName>
    <definedName name="PUM" localSheetId="25">#REF!</definedName>
    <definedName name="PUM" localSheetId="26">#REF!</definedName>
    <definedName name="PUM" localSheetId="27">#REF!</definedName>
    <definedName name="PUM" localSheetId="28">#REF!</definedName>
    <definedName name="PUM" localSheetId="11">#REF!</definedName>
    <definedName name="PUM" localSheetId="29">#REF!</definedName>
    <definedName name="PUM" localSheetId="12">#REF!</definedName>
    <definedName name="PUM" localSheetId="13">#REF!</definedName>
    <definedName name="PUM" localSheetId="14">#REF!</definedName>
    <definedName name="PUM" localSheetId="15">#REF!</definedName>
    <definedName name="PUM" localSheetId="16">#REF!</definedName>
    <definedName name="PUM" localSheetId="17">#REF!</definedName>
    <definedName name="PUM" localSheetId="18">#REF!</definedName>
    <definedName name="PUM">#REF!</definedName>
    <definedName name="PUMP" localSheetId="3">#REF!</definedName>
    <definedName name="PUMP" localSheetId="9">#REF!</definedName>
    <definedName name="PUMP" localSheetId="30">#REF!</definedName>
    <definedName name="PUMP" localSheetId="5">#REF!</definedName>
    <definedName name="PUMP" localSheetId="6">#REF!</definedName>
    <definedName name="PUMP" localSheetId="7">#REF!</definedName>
    <definedName name="PUMP" localSheetId="8">#REF!</definedName>
    <definedName name="PUMP" localSheetId="10">#REF!</definedName>
    <definedName name="PUMP" localSheetId="19">#REF!</definedName>
    <definedName name="PUMP" localSheetId="20">#REF!</definedName>
    <definedName name="PUMP" localSheetId="21">#REF!</definedName>
    <definedName name="PUMP" localSheetId="22">#REF!</definedName>
    <definedName name="PUMP" localSheetId="23">#REF!</definedName>
    <definedName name="PUMP" localSheetId="24">#REF!</definedName>
    <definedName name="PUMP" localSheetId="25">#REF!</definedName>
    <definedName name="PUMP" localSheetId="26">#REF!</definedName>
    <definedName name="PUMP" localSheetId="27">#REF!</definedName>
    <definedName name="PUMP" localSheetId="28">#REF!</definedName>
    <definedName name="PUMP" localSheetId="11">#REF!</definedName>
    <definedName name="PUMP" localSheetId="29">#REF!</definedName>
    <definedName name="PUMP" localSheetId="12">#REF!</definedName>
    <definedName name="PUMP" localSheetId="13">#REF!</definedName>
    <definedName name="PUMP" localSheetId="14">#REF!</definedName>
    <definedName name="PUMP" localSheetId="15">#REF!</definedName>
    <definedName name="PUMP" localSheetId="16">#REF!</definedName>
    <definedName name="PUMP" localSheetId="17">#REF!</definedName>
    <definedName name="PUMP" localSheetId="18">#REF!</definedName>
    <definedName name="PUMP">#REF!</definedName>
    <definedName name="sort" localSheetId="3">#REF!</definedName>
    <definedName name="sort" localSheetId="9">#REF!</definedName>
    <definedName name="sort" localSheetId="30">#REF!</definedName>
    <definedName name="sort" localSheetId="5">#REF!</definedName>
    <definedName name="sort" localSheetId="6">#REF!</definedName>
    <definedName name="sort" localSheetId="7">#REF!</definedName>
    <definedName name="sort" localSheetId="8">#REF!</definedName>
    <definedName name="sort" localSheetId="10">#REF!</definedName>
    <definedName name="sort" localSheetId="19">#REF!</definedName>
    <definedName name="sort" localSheetId="20">#REF!</definedName>
    <definedName name="sort" localSheetId="21">#REF!</definedName>
    <definedName name="sort" localSheetId="22">#REF!</definedName>
    <definedName name="sort" localSheetId="23">#REF!</definedName>
    <definedName name="sort" localSheetId="24">#REF!</definedName>
    <definedName name="sort" localSheetId="25">#REF!</definedName>
    <definedName name="sort" localSheetId="26">#REF!</definedName>
    <definedName name="sort" localSheetId="27">#REF!</definedName>
    <definedName name="sort" localSheetId="28">#REF!</definedName>
    <definedName name="sort" localSheetId="11">#REF!</definedName>
    <definedName name="sort" localSheetId="29">#REF!</definedName>
    <definedName name="sort" localSheetId="12">#REF!</definedName>
    <definedName name="sort" localSheetId="13">#REF!</definedName>
    <definedName name="sort" localSheetId="14">#REF!</definedName>
    <definedName name="sort" localSheetId="15">#REF!</definedName>
    <definedName name="sort" localSheetId="16">#REF!</definedName>
    <definedName name="sort" localSheetId="17">#REF!</definedName>
    <definedName name="sort" localSheetId="18">#REF!</definedName>
    <definedName name="sort">#REF!</definedName>
    <definedName name="SPE" localSheetId="3">#REF!</definedName>
    <definedName name="SPE" localSheetId="9">#REF!</definedName>
    <definedName name="SPE" localSheetId="30">#REF!</definedName>
    <definedName name="SPE" localSheetId="5">#REF!</definedName>
    <definedName name="SPE" localSheetId="6">#REF!</definedName>
    <definedName name="SPE" localSheetId="7">#REF!</definedName>
    <definedName name="SPE" localSheetId="8">#REF!</definedName>
    <definedName name="SPE" localSheetId="10">#REF!</definedName>
    <definedName name="SPE" localSheetId="19">#REF!</definedName>
    <definedName name="SPE" localSheetId="20">#REF!</definedName>
    <definedName name="SPE" localSheetId="21">#REF!</definedName>
    <definedName name="SPE" localSheetId="22">#REF!</definedName>
    <definedName name="SPE" localSheetId="23">#REF!</definedName>
    <definedName name="SPE" localSheetId="24">#REF!</definedName>
    <definedName name="SPE" localSheetId="25">#REF!</definedName>
    <definedName name="SPE" localSheetId="26">#REF!</definedName>
    <definedName name="SPE" localSheetId="27">#REF!</definedName>
    <definedName name="SPE" localSheetId="28">#REF!</definedName>
    <definedName name="SPE" localSheetId="11">#REF!</definedName>
    <definedName name="SPE" localSheetId="29">#REF!</definedName>
    <definedName name="SPE" localSheetId="12">#REF!</definedName>
    <definedName name="SPE" localSheetId="13">#REF!</definedName>
    <definedName name="SPE" localSheetId="14">#REF!</definedName>
    <definedName name="SPE" localSheetId="15">#REF!</definedName>
    <definedName name="SPE" localSheetId="16">#REF!</definedName>
    <definedName name="SPE" localSheetId="17">#REF!</definedName>
    <definedName name="SPE" localSheetId="18">#REF!</definedName>
    <definedName name="SPE">#REF!</definedName>
    <definedName name="SPEC" localSheetId="3">#REF!</definedName>
    <definedName name="SPEC" localSheetId="9">#REF!</definedName>
    <definedName name="SPEC" localSheetId="30">#REF!</definedName>
    <definedName name="SPEC" localSheetId="5">#REF!</definedName>
    <definedName name="SPEC" localSheetId="6">#REF!</definedName>
    <definedName name="SPEC" localSheetId="7">#REF!</definedName>
    <definedName name="SPEC" localSheetId="8">#REF!</definedName>
    <definedName name="SPEC" localSheetId="10">#REF!</definedName>
    <definedName name="SPEC" localSheetId="19">#REF!</definedName>
    <definedName name="SPEC" localSheetId="20">#REF!</definedName>
    <definedName name="SPEC" localSheetId="21">#REF!</definedName>
    <definedName name="SPEC" localSheetId="22">#REF!</definedName>
    <definedName name="SPEC" localSheetId="23">#REF!</definedName>
    <definedName name="SPEC" localSheetId="24">#REF!</definedName>
    <definedName name="SPEC" localSheetId="25">#REF!</definedName>
    <definedName name="SPEC" localSheetId="26">#REF!</definedName>
    <definedName name="SPEC" localSheetId="27">#REF!</definedName>
    <definedName name="SPEC" localSheetId="28">#REF!</definedName>
    <definedName name="SPEC" localSheetId="11">#REF!</definedName>
    <definedName name="SPEC" localSheetId="29">#REF!</definedName>
    <definedName name="SPEC" localSheetId="12">#REF!</definedName>
    <definedName name="SPEC" localSheetId="13">#REF!</definedName>
    <definedName name="SPEC" localSheetId="14">#REF!</definedName>
    <definedName name="SPEC" localSheetId="15">#REF!</definedName>
    <definedName name="SPEC" localSheetId="16">#REF!</definedName>
    <definedName name="SPEC" localSheetId="17">#REF!</definedName>
    <definedName name="SPEC" localSheetId="18">#REF!</definedName>
    <definedName name="SPEC">#REF!</definedName>
    <definedName name="stagefrac" localSheetId="3">#REF!</definedName>
    <definedName name="stagefrac" localSheetId="9">#REF!</definedName>
    <definedName name="stagefrac" localSheetId="30">#REF!</definedName>
    <definedName name="stagefrac" localSheetId="5">#REF!</definedName>
    <definedName name="stagefrac" localSheetId="6">#REF!</definedName>
    <definedName name="stagefrac" localSheetId="7">#REF!</definedName>
    <definedName name="stagefrac" localSheetId="8">#REF!</definedName>
    <definedName name="stagefrac" localSheetId="10">#REF!</definedName>
    <definedName name="stagefrac" localSheetId="19">#REF!</definedName>
    <definedName name="stagefrac" localSheetId="20">#REF!</definedName>
    <definedName name="stagefrac" localSheetId="21">#REF!</definedName>
    <definedName name="stagefrac" localSheetId="22">#REF!</definedName>
    <definedName name="stagefrac" localSheetId="23">#REF!</definedName>
    <definedName name="stagefrac" localSheetId="24">#REF!</definedName>
    <definedName name="stagefrac" localSheetId="25">#REF!</definedName>
    <definedName name="stagefrac" localSheetId="26">#REF!</definedName>
    <definedName name="stagefrac" localSheetId="27">#REF!</definedName>
    <definedName name="stagefrac" localSheetId="28">#REF!</definedName>
    <definedName name="stagefrac" localSheetId="11">#REF!</definedName>
    <definedName name="stagefrac" localSheetId="29">#REF!</definedName>
    <definedName name="stagefrac" localSheetId="12">#REF!</definedName>
    <definedName name="stagefrac" localSheetId="13">#REF!</definedName>
    <definedName name="stagefrac" localSheetId="14">#REF!</definedName>
    <definedName name="stagefrac" localSheetId="15">#REF!</definedName>
    <definedName name="stagefrac" localSheetId="16">#REF!</definedName>
    <definedName name="stagefrac" localSheetId="17">#REF!</definedName>
    <definedName name="stagefrac" localSheetId="18">#REF!</definedName>
    <definedName name="stagefrac">#REF!</definedName>
    <definedName name="SURE" localSheetId="3">#REF!</definedName>
    <definedName name="SURE" localSheetId="9">#REF!</definedName>
    <definedName name="SURE" localSheetId="30">#REF!</definedName>
    <definedName name="SURE" localSheetId="5">#REF!</definedName>
    <definedName name="SURE" localSheetId="6">#REF!</definedName>
    <definedName name="SURE" localSheetId="7">#REF!</definedName>
    <definedName name="SURE" localSheetId="8">#REF!</definedName>
    <definedName name="SURE" localSheetId="10">#REF!</definedName>
    <definedName name="SURE" localSheetId="19">#REF!</definedName>
    <definedName name="SURE" localSheetId="20">#REF!</definedName>
    <definedName name="SURE" localSheetId="21">#REF!</definedName>
    <definedName name="SURE" localSheetId="22">#REF!</definedName>
    <definedName name="SURE" localSheetId="23">#REF!</definedName>
    <definedName name="SURE" localSheetId="24">#REF!</definedName>
    <definedName name="SURE" localSheetId="25">#REF!</definedName>
    <definedName name="SURE" localSheetId="26">#REF!</definedName>
    <definedName name="SURE" localSheetId="27">#REF!</definedName>
    <definedName name="SURE" localSheetId="28">#REF!</definedName>
    <definedName name="SURE" localSheetId="11">#REF!</definedName>
    <definedName name="SURE" localSheetId="29">#REF!</definedName>
    <definedName name="SURE" localSheetId="12">#REF!</definedName>
    <definedName name="SURE" localSheetId="13">#REF!</definedName>
    <definedName name="SURE" localSheetId="14">#REF!</definedName>
    <definedName name="SURE" localSheetId="15">#REF!</definedName>
    <definedName name="SURE" localSheetId="16">#REF!</definedName>
    <definedName name="SURE" localSheetId="17">#REF!</definedName>
    <definedName name="SURE" localSheetId="18">#REF!</definedName>
    <definedName name="SURE">#REF!</definedName>
    <definedName name="t" localSheetId="3">#REF!</definedName>
    <definedName name="t" localSheetId="9">#REF!</definedName>
    <definedName name="t" localSheetId="30">#REF!</definedName>
    <definedName name="t" localSheetId="5">#REF!</definedName>
    <definedName name="t" localSheetId="6">#REF!</definedName>
    <definedName name="t" localSheetId="7">#REF!</definedName>
    <definedName name="t" localSheetId="8">#REF!</definedName>
    <definedName name="t" localSheetId="10">#REF!</definedName>
    <definedName name="t" localSheetId="19">#REF!</definedName>
    <definedName name="t" localSheetId="20">#REF!</definedName>
    <definedName name="t" localSheetId="21">#REF!</definedName>
    <definedName name="t" localSheetId="22">#REF!</definedName>
    <definedName name="t" localSheetId="23">#REF!</definedName>
    <definedName name="t" localSheetId="24">#REF!</definedName>
    <definedName name="t" localSheetId="25">#REF!</definedName>
    <definedName name="t" localSheetId="26">#REF!</definedName>
    <definedName name="t" localSheetId="27">#REF!</definedName>
    <definedName name="t" localSheetId="28">#REF!</definedName>
    <definedName name="t" localSheetId="11">#REF!</definedName>
    <definedName name="t" localSheetId="29">#REF!</definedName>
    <definedName name="t" localSheetId="12">#REF!</definedName>
    <definedName name="t" localSheetId="13">#REF!</definedName>
    <definedName name="t" localSheetId="14">#REF!</definedName>
    <definedName name="t" localSheetId="15">#REF!</definedName>
    <definedName name="t" localSheetId="16">#REF!</definedName>
    <definedName name="t" localSheetId="17">#REF!</definedName>
    <definedName name="t" localSheetId="18">#REF!</definedName>
    <definedName name="t">#REF!</definedName>
    <definedName name="Tensile" localSheetId="3">#REF!</definedName>
    <definedName name="Tensile" localSheetId="9">#REF!</definedName>
    <definedName name="Tensile" localSheetId="30">#REF!</definedName>
    <definedName name="Tensile" localSheetId="5">#REF!</definedName>
    <definedName name="Tensile" localSheetId="6">#REF!</definedName>
    <definedName name="Tensile" localSheetId="7">#REF!</definedName>
    <definedName name="Tensile" localSheetId="8">#REF!</definedName>
    <definedName name="Tensile" localSheetId="10">#REF!</definedName>
    <definedName name="Tensile" localSheetId="19">#REF!</definedName>
    <definedName name="Tensile" localSheetId="20">#REF!</definedName>
    <definedName name="Tensile" localSheetId="21">#REF!</definedName>
    <definedName name="Tensile" localSheetId="22">#REF!</definedName>
    <definedName name="Tensile" localSheetId="23">#REF!</definedName>
    <definedName name="Tensile" localSheetId="24">#REF!</definedName>
    <definedName name="Tensile" localSheetId="25">#REF!</definedName>
    <definedName name="Tensile" localSheetId="26">#REF!</definedName>
    <definedName name="Tensile" localSheetId="27">#REF!</definedName>
    <definedName name="Tensile" localSheetId="28">#REF!</definedName>
    <definedName name="Tensile" localSheetId="11">#REF!</definedName>
    <definedName name="Tensile" localSheetId="29">#REF!</definedName>
    <definedName name="Tensile" localSheetId="12">#REF!</definedName>
    <definedName name="Tensile" localSheetId="13">#REF!</definedName>
    <definedName name="Tensile" localSheetId="14">#REF!</definedName>
    <definedName name="Tensile" localSheetId="15">#REF!</definedName>
    <definedName name="Tensile" localSheetId="16">#REF!</definedName>
    <definedName name="Tensile" localSheetId="17">#REF!</definedName>
    <definedName name="Tensile" localSheetId="18">#REF!</definedName>
    <definedName name="Tensile">#REF!</definedName>
    <definedName name="units" localSheetId="3">#REF!</definedName>
    <definedName name="units" localSheetId="9">#REF!</definedName>
    <definedName name="units" localSheetId="30">#REF!</definedName>
    <definedName name="units" localSheetId="5">#REF!</definedName>
    <definedName name="units" localSheetId="6">#REF!</definedName>
    <definedName name="units" localSheetId="7">#REF!</definedName>
    <definedName name="units" localSheetId="8">#REF!</definedName>
    <definedName name="units" localSheetId="10">#REF!</definedName>
    <definedName name="units" localSheetId="19">#REF!</definedName>
    <definedName name="units" localSheetId="20">#REF!</definedName>
    <definedName name="units" localSheetId="21">#REF!</definedName>
    <definedName name="units" localSheetId="22">#REF!</definedName>
    <definedName name="units" localSheetId="23">#REF!</definedName>
    <definedName name="units" localSheetId="24">#REF!</definedName>
    <definedName name="units" localSheetId="25">#REF!</definedName>
    <definedName name="units" localSheetId="26">#REF!</definedName>
    <definedName name="units" localSheetId="27">#REF!</definedName>
    <definedName name="units" localSheetId="28">#REF!</definedName>
    <definedName name="units" localSheetId="11">#REF!</definedName>
    <definedName name="units" localSheetId="29">#REF!</definedName>
    <definedName name="units" localSheetId="12">#REF!</definedName>
    <definedName name="units" localSheetId="13">#REF!</definedName>
    <definedName name="units" localSheetId="14">#REF!</definedName>
    <definedName name="units" localSheetId="15">#REF!</definedName>
    <definedName name="units" localSheetId="16">#REF!</definedName>
    <definedName name="units" localSheetId="17">#REF!</definedName>
    <definedName name="units" localSheetId="18">#REF!</definedName>
    <definedName name="units">#REF!</definedName>
    <definedName name="Well_Name">'Stage Generator'!$G$17:$G$21</definedName>
    <definedName name="wrn.Bid1Report." localSheetId="9" hidden="1">{"CoverView",#N/A,FALSE,"Cover";"SpecsView",#N/A,FALSE,"Specs";"ChemsView",#N/A,FALSE,"Chems";"ScheduleView",#N/A,FALSE,"Schdule";"PriceView",#N/A,FALSE,"Price";"FieldView",#N/A,FALSE,"Price"}</definedName>
    <definedName name="wrn.Bid1Report." hidden="1">{"CoverView",#N/A,FALSE,"Cover";"SpecsView",#N/A,FALSE,"Specs";"ChemsView",#N/A,FALSE,"Chems";"ScheduleView",#N/A,FALSE,"Schdule";"PriceView",#N/A,FALSE,"Price";"FieldView",#N/A,FALSE,"Price"}</definedName>
    <definedName name="x" localSheetId="9" hidden="1">{"CoverView",#N/A,FALSE,"Cover";"SpecsView",#N/A,FALSE,"Specs";"ChemsView",#N/A,FALSE,"Chems";"ScheduleView",#N/A,FALSE,"Schdule";"PriceView",#N/A,FALSE,"Price";"FieldView",#N/A,FALSE,"Price"}</definedName>
    <definedName name="x" hidden="1">{"CoverView",#N/A,FALSE,"Cover";"SpecsView",#N/A,FALSE,"Specs";"ChemsView",#N/A,FALSE,"Chems";"ScheduleView",#N/A,FALSE,"Schdule";"PriceView",#N/A,FALSE,"Price";"FieldView",#N/A,FALSE,"Price"}</definedName>
    <definedName name="z" localSheetId="9" hidden="1">{"CoverView",#N/A,FALSE,"Cover";"SpecsView",#N/A,FALSE,"Specs";"ChemsView",#N/A,FALSE,"Chems";"ScheduleView",#N/A,FALSE,"Schdule";"PriceView",#N/A,FALSE,"Price";"FieldView",#N/A,FALSE,"Price"}</definedName>
    <definedName name="z" hidden="1">{"CoverView",#N/A,FALSE,"Cover";"SpecsView",#N/A,FALSE,"Specs";"ChemsView",#N/A,FALSE,"Chems";"ScheduleView",#N/A,FALSE,"Schdule";"PriceView",#N/A,FALSE,"Price";"FieldView",#N/A,FALSE,"Price"}</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8" i="29" l="1"/>
  <c r="AE38" i="29"/>
  <c r="AD38" i="29"/>
  <c r="AC38" i="29"/>
  <c r="AB38" i="29"/>
  <c r="AA38" i="29"/>
  <c r="Z38" i="29"/>
  <c r="Y38" i="29"/>
  <c r="X38" i="29"/>
  <c r="W38" i="29"/>
  <c r="V38" i="29"/>
  <c r="U38" i="29"/>
  <c r="T38" i="29"/>
  <c r="S38" i="29"/>
  <c r="R38" i="29"/>
  <c r="Q38" i="29"/>
  <c r="P38" i="29"/>
  <c r="O38" i="29"/>
  <c r="N38" i="29"/>
  <c r="M38" i="29"/>
  <c r="L38" i="29"/>
  <c r="K38" i="29"/>
  <c r="I38" i="29"/>
  <c r="H38" i="29"/>
  <c r="G38" i="29"/>
  <c r="F38" i="29"/>
  <c r="E38" i="29"/>
  <c r="D38" i="29"/>
  <c r="C38" i="29"/>
  <c r="B38" i="29"/>
  <c r="K22" i="175"/>
  <c r="K21" i="175"/>
  <c r="K20" i="175"/>
  <c r="AH200" i="175"/>
  <c r="D36" i="175"/>
  <c r="J35" i="175"/>
  <c r="J34" i="175"/>
  <c r="J33" i="175"/>
  <c r="Q26" i="175"/>
  <c r="AF37" i="29"/>
  <c r="AE37" i="29"/>
  <c r="AD37" i="29"/>
  <c r="AC37" i="29"/>
  <c r="AB37" i="29"/>
  <c r="AA37" i="29"/>
  <c r="Z37" i="29"/>
  <c r="Y37" i="29"/>
  <c r="X37" i="29"/>
  <c r="W37" i="29"/>
  <c r="V37" i="29"/>
  <c r="U37" i="29"/>
  <c r="T37" i="29"/>
  <c r="S37" i="29"/>
  <c r="R37" i="29"/>
  <c r="Q37" i="29"/>
  <c r="P37" i="29"/>
  <c r="O37" i="29"/>
  <c r="N37" i="29"/>
  <c r="M37" i="29"/>
  <c r="L37" i="29"/>
  <c r="K37" i="29"/>
  <c r="I37" i="29"/>
  <c r="H37" i="29"/>
  <c r="G37" i="29"/>
  <c r="F37" i="29"/>
  <c r="E37" i="29"/>
  <c r="D37" i="29"/>
  <c r="C37" i="29"/>
  <c r="B37" i="29"/>
  <c r="K22" i="174"/>
  <c r="K21" i="174"/>
  <c r="K20" i="174"/>
  <c r="AH200" i="174"/>
  <c r="D36" i="174"/>
  <c r="J35" i="174"/>
  <c r="J34" i="174"/>
  <c r="J33" i="174"/>
  <c r="Q26" i="174"/>
  <c r="AF36" i="29"/>
  <c r="AE36" i="29"/>
  <c r="AD36" i="29"/>
  <c r="AC36" i="29"/>
  <c r="AB36" i="29"/>
  <c r="AA36" i="29"/>
  <c r="Z36" i="29"/>
  <c r="Y36" i="29"/>
  <c r="X36" i="29"/>
  <c r="W36" i="29"/>
  <c r="V36" i="29"/>
  <c r="U36" i="29"/>
  <c r="T36" i="29"/>
  <c r="S36" i="29"/>
  <c r="R36" i="29"/>
  <c r="Q36" i="29"/>
  <c r="P36" i="29"/>
  <c r="O36" i="29"/>
  <c r="N36" i="29"/>
  <c r="M36" i="29"/>
  <c r="L36" i="29"/>
  <c r="K36" i="29"/>
  <c r="I36" i="29"/>
  <c r="H36" i="29"/>
  <c r="G36" i="29"/>
  <c r="F36" i="29"/>
  <c r="E36" i="29"/>
  <c r="D36" i="29"/>
  <c r="C36" i="29"/>
  <c r="B36" i="29"/>
  <c r="K22" i="173"/>
  <c r="K21" i="173"/>
  <c r="K20" i="173"/>
  <c r="AH200" i="173"/>
  <c r="D36" i="173"/>
  <c r="J35" i="173"/>
  <c r="J34" i="173"/>
  <c r="J33" i="173"/>
  <c r="Q26" i="173"/>
  <c r="AF35" i="29"/>
  <c r="AE35" i="29"/>
  <c r="AD35" i="29"/>
  <c r="AC35" i="29"/>
  <c r="AB35" i="29"/>
  <c r="AA35" i="29"/>
  <c r="Z35" i="29"/>
  <c r="Y35" i="29"/>
  <c r="X35" i="29"/>
  <c r="W35" i="29"/>
  <c r="V35" i="29"/>
  <c r="U35" i="29"/>
  <c r="T35" i="29"/>
  <c r="S35" i="29"/>
  <c r="R35" i="29"/>
  <c r="Q35" i="29"/>
  <c r="P35" i="29"/>
  <c r="O35" i="29"/>
  <c r="N35" i="29"/>
  <c r="M35" i="29"/>
  <c r="L35" i="29"/>
  <c r="K35" i="29"/>
  <c r="I35" i="29"/>
  <c r="H35" i="29"/>
  <c r="G35" i="29"/>
  <c r="F35" i="29"/>
  <c r="E35" i="29"/>
  <c r="D35" i="29"/>
  <c r="C35" i="29"/>
  <c r="B35" i="29"/>
  <c r="K22" i="172"/>
  <c r="K21" i="172"/>
  <c r="K20" i="172"/>
  <c r="AH200" i="172"/>
  <c r="D36" i="172"/>
  <c r="J35" i="172"/>
  <c r="J34" i="172"/>
  <c r="J33" i="172"/>
  <c r="Q26" i="172"/>
  <c r="AF34" i="29"/>
  <c r="AE34" i="29"/>
  <c r="AD34" i="29"/>
  <c r="AC34" i="29"/>
  <c r="AB34" i="29"/>
  <c r="AA34" i="29"/>
  <c r="Z34" i="29"/>
  <c r="Y34" i="29"/>
  <c r="X34" i="29"/>
  <c r="W34" i="29"/>
  <c r="V34" i="29"/>
  <c r="U34" i="29"/>
  <c r="T34" i="29"/>
  <c r="S34" i="29"/>
  <c r="R34" i="29"/>
  <c r="Q34" i="29"/>
  <c r="P34" i="29"/>
  <c r="O34" i="29"/>
  <c r="N34" i="29"/>
  <c r="M34" i="29"/>
  <c r="L34" i="29"/>
  <c r="K34" i="29"/>
  <c r="I34" i="29"/>
  <c r="H34" i="29"/>
  <c r="G34" i="29"/>
  <c r="F34" i="29"/>
  <c r="E34" i="29"/>
  <c r="D34" i="29"/>
  <c r="C34" i="29"/>
  <c r="B34" i="29"/>
  <c r="K22" i="171"/>
  <c r="K21" i="171"/>
  <c r="K20" i="171"/>
  <c r="AH200" i="171"/>
  <c r="D36" i="171"/>
  <c r="J35" i="171"/>
  <c r="J34" i="171"/>
  <c r="J33" i="171"/>
  <c r="Q26" i="171"/>
  <c r="AF33" i="29"/>
  <c r="AE33" i="29"/>
  <c r="AD33" i="29"/>
  <c r="AC33" i="29"/>
  <c r="AB33" i="29"/>
  <c r="AA33" i="29"/>
  <c r="Z33" i="29"/>
  <c r="Y33" i="29"/>
  <c r="X33" i="29"/>
  <c r="W33" i="29"/>
  <c r="V33" i="29"/>
  <c r="U33" i="29"/>
  <c r="T33" i="29"/>
  <c r="S33" i="29"/>
  <c r="R33" i="29"/>
  <c r="Q33" i="29"/>
  <c r="P33" i="29"/>
  <c r="O33" i="29"/>
  <c r="N33" i="29"/>
  <c r="M33" i="29"/>
  <c r="L33" i="29"/>
  <c r="K33" i="29"/>
  <c r="I33" i="29"/>
  <c r="H33" i="29"/>
  <c r="G33" i="29"/>
  <c r="F33" i="29"/>
  <c r="E33" i="29"/>
  <c r="D33" i="29"/>
  <c r="C33" i="29"/>
  <c r="B33" i="29"/>
  <c r="K22" i="170"/>
  <c r="K21" i="170"/>
  <c r="K20" i="170"/>
  <c r="AH200" i="170"/>
  <c r="D36" i="170"/>
  <c r="J35" i="170"/>
  <c r="J34" i="170"/>
  <c r="J33" i="170"/>
  <c r="Q26" i="170"/>
  <c r="AF32" i="29"/>
  <c r="AE32" i="29"/>
  <c r="AD32" i="29"/>
  <c r="AC32" i="29"/>
  <c r="AB32" i="29"/>
  <c r="AA32" i="29"/>
  <c r="Z32" i="29"/>
  <c r="Y32" i="29"/>
  <c r="X32" i="29"/>
  <c r="W32" i="29"/>
  <c r="V32" i="29"/>
  <c r="U32" i="29"/>
  <c r="T32" i="29"/>
  <c r="S32" i="29"/>
  <c r="R32" i="29"/>
  <c r="Q32" i="29"/>
  <c r="P32" i="29"/>
  <c r="O32" i="29"/>
  <c r="N32" i="29"/>
  <c r="M32" i="29"/>
  <c r="L32" i="29"/>
  <c r="K32" i="29"/>
  <c r="I32" i="29"/>
  <c r="H32" i="29"/>
  <c r="G32" i="29"/>
  <c r="F32" i="29"/>
  <c r="E32" i="29"/>
  <c r="D32" i="29"/>
  <c r="C32" i="29"/>
  <c r="B32" i="29"/>
  <c r="K22" i="169"/>
  <c r="K21" i="169"/>
  <c r="K20" i="169"/>
  <c r="AH200" i="169"/>
  <c r="D36" i="169"/>
  <c r="J35" i="169"/>
  <c r="J34" i="169"/>
  <c r="J33" i="169"/>
  <c r="Q26" i="169"/>
  <c r="AF31" i="29"/>
  <c r="AE31" i="29"/>
  <c r="AD31" i="29"/>
  <c r="AC31" i="29"/>
  <c r="AB31" i="29"/>
  <c r="AA31" i="29"/>
  <c r="Z31" i="29"/>
  <c r="Y31" i="29"/>
  <c r="X31" i="29"/>
  <c r="W31" i="29"/>
  <c r="V31" i="29"/>
  <c r="U31" i="29"/>
  <c r="T31" i="29"/>
  <c r="S31" i="29"/>
  <c r="R31" i="29"/>
  <c r="Q31" i="29"/>
  <c r="P31" i="29"/>
  <c r="O31" i="29"/>
  <c r="N31" i="29"/>
  <c r="M31" i="29"/>
  <c r="L31" i="29"/>
  <c r="K31" i="29"/>
  <c r="I31" i="29"/>
  <c r="H31" i="29"/>
  <c r="G31" i="29"/>
  <c r="F31" i="29"/>
  <c r="E31" i="29"/>
  <c r="D31" i="29"/>
  <c r="C31" i="29"/>
  <c r="B31" i="29"/>
  <c r="K22" i="168"/>
  <c r="K21" i="168"/>
  <c r="K20" i="168"/>
  <c r="AH200" i="168"/>
  <c r="D36" i="168"/>
  <c r="J35" i="168"/>
  <c r="J34" i="168"/>
  <c r="J33" i="168"/>
  <c r="Q26" i="168"/>
  <c r="AF30" i="29"/>
  <c r="AE30" i="29"/>
  <c r="AD30" i="29"/>
  <c r="AC30" i="29"/>
  <c r="AB30" i="29"/>
  <c r="AA30" i="29"/>
  <c r="Z30" i="29"/>
  <c r="Y30" i="29"/>
  <c r="X30" i="29"/>
  <c r="W30" i="29"/>
  <c r="V30" i="29"/>
  <c r="U30" i="29"/>
  <c r="T30" i="29"/>
  <c r="S30" i="29"/>
  <c r="R30" i="29"/>
  <c r="Q30" i="29"/>
  <c r="P30" i="29"/>
  <c r="O30" i="29"/>
  <c r="N30" i="29"/>
  <c r="M30" i="29"/>
  <c r="L30" i="29"/>
  <c r="K30" i="29"/>
  <c r="I30" i="29"/>
  <c r="H30" i="29"/>
  <c r="G30" i="29"/>
  <c r="F30" i="29"/>
  <c r="E30" i="29"/>
  <c r="D30" i="29"/>
  <c r="C30" i="29"/>
  <c r="B30" i="29"/>
  <c r="K22" i="167"/>
  <c r="K21" i="167"/>
  <c r="K20" i="167"/>
  <c r="AH200" i="167"/>
  <c r="D36" i="167"/>
  <c r="J35" i="167"/>
  <c r="J34" i="167"/>
  <c r="J33" i="167"/>
  <c r="Q26" i="167"/>
  <c r="AF29" i="29"/>
  <c r="AE29" i="29"/>
  <c r="AD29" i="29"/>
  <c r="AC29" i="29"/>
  <c r="AB29" i="29"/>
  <c r="AA29" i="29"/>
  <c r="Z29" i="29"/>
  <c r="Y29" i="29"/>
  <c r="X29" i="29"/>
  <c r="W29" i="29"/>
  <c r="V29" i="29"/>
  <c r="U29" i="29"/>
  <c r="T29" i="29"/>
  <c r="S29" i="29"/>
  <c r="R29" i="29"/>
  <c r="Q29" i="29"/>
  <c r="P29" i="29"/>
  <c r="O29" i="29"/>
  <c r="N29" i="29"/>
  <c r="M29" i="29"/>
  <c r="L29" i="29"/>
  <c r="K29" i="29"/>
  <c r="I29" i="29"/>
  <c r="H29" i="29"/>
  <c r="G29" i="29"/>
  <c r="F29" i="29"/>
  <c r="E29" i="29"/>
  <c r="D29" i="29"/>
  <c r="C29" i="29"/>
  <c r="B29" i="29"/>
  <c r="K22" i="166"/>
  <c r="K21" i="166"/>
  <c r="K20" i="166"/>
  <c r="AH200" i="166"/>
  <c r="D36" i="166"/>
  <c r="J35" i="166"/>
  <c r="J34" i="166"/>
  <c r="J33" i="166"/>
  <c r="Q26" i="166"/>
  <c r="AF28" i="29"/>
  <c r="AE28" i="29"/>
  <c r="AD28" i="29"/>
  <c r="AC28" i="29"/>
  <c r="AB28" i="29"/>
  <c r="AA28" i="29"/>
  <c r="Z28" i="29"/>
  <c r="Y28" i="29"/>
  <c r="X28" i="29"/>
  <c r="W28" i="29"/>
  <c r="V28" i="29"/>
  <c r="U28" i="29"/>
  <c r="T28" i="29"/>
  <c r="S28" i="29"/>
  <c r="R28" i="29"/>
  <c r="Q28" i="29"/>
  <c r="P28" i="29"/>
  <c r="O28" i="29"/>
  <c r="N28" i="29"/>
  <c r="M28" i="29"/>
  <c r="L28" i="29"/>
  <c r="K28" i="29"/>
  <c r="I28" i="29"/>
  <c r="H28" i="29"/>
  <c r="G28" i="29"/>
  <c r="F28" i="29"/>
  <c r="E28" i="29"/>
  <c r="D28" i="29"/>
  <c r="C28" i="29"/>
  <c r="B28" i="29"/>
  <c r="K22" i="165"/>
  <c r="K21" i="165"/>
  <c r="K20" i="165"/>
  <c r="AH200" i="165"/>
  <c r="D36" i="165"/>
  <c r="J35" i="165"/>
  <c r="J34" i="165"/>
  <c r="J33" i="165"/>
  <c r="Q26" i="165"/>
  <c r="AF27" i="29"/>
  <c r="AE27" i="29"/>
  <c r="AD27" i="29"/>
  <c r="AC27" i="29"/>
  <c r="AB27" i="29"/>
  <c r="AA27" i="29"/>
  <c r="Z27" i="29"/>
  <c r="Y27" i="29"/>
  <c r="X27" i="29"/>
  <c r="W27" i="29"/>
  <c r="V27" i="29"/>
  <c r="U27" i="29"/>
  <c r="T27" i="29"/>
  <c r="S27" i="29"/>
  <c r="R27" i="29"/>
  <c r="Q27" i="29"/>
  <c r="P27" i="29"/>
  <c r="O27" i="29"/>
  <c r="N27" i="29"/>
  <c r="M27" i="29"/>
  <c r="L27" i="29"/>
  <c r="K27" i="29"/>
  <c r="I27" i="29"/>
  <c r="H27" i="29"/>
  <c r="G27" i="29"/>
  <c r="F27" i="29"/>
  <c r="E27" i="29"/>
  <c r="D27" i="29"/>
  <c r="C27" i="29"/>
  <c r="B27" i="29"/>
  <c r="K22" i="164"/>
  <c r="K21" i="164"/>
  <c r="K20" i="164"/>
  <c r="AH200" i="164"/>
  <c r="D36" i="164"/>
  <c r="J35" i="164"/>
  <c r="J34" i="164"/>
  <c r="J33" i="164"/>
  <c r="Q26" i="164"/>
  <c r="AF26" i="29"/>
  <c r="AE26" i="29"/>
  <c r="AD26" i="29"/>
  <c r="AC26" i="29"/>
  <c r="AB26" i="29"/>
  <c r="AA26" i="29"/>
  <c r="Z26" i="29"/>
  <c r="Y26" i="29"/>
  <c r="X26" i="29"/>
  <c r="W26" i="29"/>
  <c r="V26" i="29"/>
  <c r="U26" i="29"/>
  <c r="T26" i="29"/>
  <c r="S26" i="29"/>
  <c r="R26" i="29"/>
  <c r="Q26" i="29"/>
  <c r="P26" i="29"/>
  <c r="O26" i="29"/>
  <c r="N26" i="29"/>
  <c r="M26" i="29"/>
  <c r="L26" i="29"/>
  <c r="K26" i="29"/>
  <c r="I26" i="29"/>
  <c r="H26" i="29"/>
  <c r="G26" i="29"/>
  <c r="F26" i="29"/>
  <c r="E26" i="29"/>
  <c r="D26" i="29"/>
  <c r="C26" i="29"/>
  <c r="B26" i="29"/>
  <c r="K22" i="163"/>
  <c r="K21" i="163"/>
  <c r="K20" i="163"/>
  <c r="AH200" i="163"/>
  <c r="D36" i="163"/>
  <c r="J35" i="163"/>
  <c r="J34" i="163"/>
  <c r="J33" i="163"/>
  <c r="Q26" i="163"/>
  <c r="AF25" i="29"/>
  <c r="AE25" i="29"/>
  <c r="AD25" i="29"/>
  <c r="AC25" i="29"/>
  <c r="AB25" i="29"/>
  <c r="AA25" i="29"/>
  <c r="Z25" i="29"/>
  <c r="Y25" i="29"/>
  <c r="X25" i="29"/>
  <c r="W25" i="29"/>
  <c r="V25" i="29"/>
  <c r="U25" i="29"/>
  <c r="T25" i="29"/>
  <c r="S25" i="29"/>
  <c r="R25" i="29"/>
  <c r="Q25" i="29"/>
  <c r="P25" i="29"/>
  <c r="O25" i="29"/>
  <c r="N25" i="29"/>
  <c r="M25" i="29"/>
  <c r="L25" i="29"/>
  <c r="K25" i="29"/>
  <c r="I25" i="29"/>
  <c r="H25" i="29"/>
  <c r="G25" i="29"/>
  <c r="F25" i="29"/>
  <c r="E25" i="29"/>
  <c r="D25" i="29"/>
  <c r="C25" i="29"/>
  <c r="B25" i="29"/>
  <c r="K22" i="162"/>
  <c r="K21" i="162"/>
  <c r="K20" i="162"/>
  <c r="AH200" i="162"/>
  <c r="D36" i="162"/>
  <c r="J35" i="162"/>
  <c r="J34" i="162"/>
  <c r="J33" i="162"/>
  <c r="Q26" i="162"/>
  <c r="AF24" i="29"/>
  <c r="AE24" i="29"/>
  <c r="AD24" i="29"/>
  <c r="AC24" i="29"/>
  <c r="AB24" i="29"/>
  <c r="AA24" i="29"/>
  <c r="Z24" i="29"/>
  <c r="Y24" i="29"/>
  <c r="X24" i="29"/>
  <c r="W24" i="29"/>
  <c r="V24" i="29"/>
  <c r="U24" i="29"/>
  <c r="T24" i="29"/>
  <c r="S24" i="29"/>
  <c r="R24" i="29"/>
  <c r="Q24" i="29"/>
  <c r="P24" i="29"/>
  <c r="O24" i="29"/>
  <c r="N24" i="29"/>
  <c r="M24" i="29"/>
  <c r="L24" i="29"/>
  <c r="K24" i="29"/>
  <c r="I24" i="29"/>
  <c r="H24" i="29"/>
  <c r="G24" i="29"/>
  <c r="F24" i="29"/>
  <c r="E24" i="29"/>
  <c r="D24" i="29"/>
  <c r="C24" i="29"/>
  <c r="B24" i="29"/>
  <c r="K22" i="161"/>
  <c r="K21" i="161"/>
  <c r="K20" i="161"/>
  <c r="AH200" i="161"/>
  <c r="D36" i="161"/>
  <c r="J35" i="161"/>
  <c r="J34" i="161"/>
  <c r="J33" i="161"/>
  <c r="Q26" i="161"/>
  <c r="AF23" i="29"/>
  <c r="AE23" i="29"/>
  <c r="AD23" i="29"/>
  <c r="AC23" i="29"/>
  <c r="AB23" i="29"/>
  <c r="AA23" i="29"/>
  <c r="Z23" i="29"/>
  <c r="Y23" i="29"/>
  <c r="X23" i="29"/>
  <c r="W23" i="29"/>
  <c r="V23" i="29"/>
  <c r="U23" i="29"/>
  <c r="T23" i="29"/>
  <c r="S23" i="29"/>
  <c r="R23" i="29"/>
  <c r="Q23" i="29"/>
  <c r="P23" i="29"/>
  <c r="O23" i="29"/>
  <c r="N23" i="29"/>
  <c r="M23" i="29"/>
  <c r="L23" i="29"/>
  <c r="K23" i="29"/>
  <c r="I23" i="29"/>
  <c r="H23" i="29"/>
  <c r="G23" i="29"/>
  <c r="F23" i="29"/>
  <c r="E23" i="29"/>
  <c r="D23" i="29"/>
  <c r="C23" i="29"/>
  <c r="B23" i="29"/>
  <c r="K22" i="160"/>
  <c r="K21" i="160"/>
  <c r="K20" i="160"/>
  <c r="AH200" i="160"/>
  <c r="D36" i="160"/>
  <c r="J35" i="160"/>
  <c r="J34" i="160"/>
  <c r="J33" i="160"/>
  <c r="Q26" i="160"/>
  <c r="AF22" i="29"/>
  <c r="AE22" i="29"/>
  <c r="AD22" i="29"/>
  <c r="AC22" i="29"/>
  <c r="AB22" i="29"/>
  <c r="AA22" i="29"/>
  <c r="Z22" i="29"/>
  <c r="Y22" i="29"/>
  <c r="X22" i="29"/>
  <c r="W22" i="29"/>
  <c r="V22" i="29"/>
  <c r="U22" i="29"/>
  <c r="T22" i="29"/>
  <c r="S22" i="29"/>
  <c r="R22" i="29"/>
  <c r="Q22" i="29"/>
  <c r="P22" i="29"/>
  <c r="O22" i="29"/>
  <c r="N22" i="29"/>
  <c r="M22" i="29"/>
  <c r="L22" i="29"/>
  <c r="K22" i="29"/>
  <c r="I22" i="29"/>
  <c r="H22" i="29"/>
  <c r="G22" i="29"/>
  <c r="F22" i="29"/>
  <c r="E22" i="29"/>
  <c r="D22" i="29"/>
  <c r="C22" i="29"/>
  <c r="B22" i="29"/>
  <c r="K22" i="159"/>
  <c r="K21" i="159"/>
  <c r="K20" i="159"/>
  <c r="AH200" i="159"/>
  <c r="D36" i="159"/>
  <c r="J35" i="159"/>
  <c r="J34" i="159"/>
  <c r="J33" i="159"/>
  <c r="Q26" i="159"/>
  <c r="AF21" i="29"/>
  <c r="AE21" i="29"/>
  <c r="AD21" i="29"/>
  <c r="AC21" i="29"/>
  <c r="AB21" i="29"/>
  <c r="AA21" i="29"/>
  <c r="Z21" i="29"/>
  <c r="Y21" i="29"/>
  <c r="X21" i="29"/>
  <c r="W21" i="29"/>
  <c r="V21" i="29"/>
  <c r="U21" i="29"/>
  <c r="T21" i="29"/>
  <c r="S21" i="29"/>
  <c r="R21" i="29"/>
  <c r="Q21" i="29"/>
  <c r="P21" i="29"/>
  <c r="O21" i="29"/>
  <c r="N21" i="29"/>
  <c r="M21" i="29"/>
  <c r="L21" i="29"/>
  <c r="K21" i="29"/>
  <c r="I21" i="29"/>
  <c r="H21" i="29"/>
  <c r="G21" i="29"/>
  <c r="F21" i="29"/>
  <c r="E21" i="29"/>
  <c r="D21" i="29"/>
  <c r="C21" i="29"/>
  <c r="B21" i="29"/>
  <c r="K22" i="158"/>
  <c r="K21" i="158"/>
  <c r="K20" i="158"/>
  <c r="AH200" i="158"/>
  <c r="D36" i="158"/>
  <c r="J35" i="158"/>
  <c r="J34" i="158"/>
  <c r="J33" i="158"/>
  <c r="Q26" i="158"/>
  <c r="AF20" i="29"/>
  <c r="AE20" i="29"/>
  <c r="AD20" i="29"/>
  <c r="AC20" i="29"/>
  <c r="AB20" i="29"/>
  <c r="AA20" i="29"/>
  <c r="Z20" i="29"/>
  <c r="Y20" i="29"/>
  <c r="X20" i="29"/>
  <c r="W20" i="29"/>
  <c r="V20" i="29"/>
  <c r="U20" i="29"/>
  <c r="T20" i="29"/>
  <c r="S20" i="29"/>
  <c r="R20" i="29"/>
  <c r="Q20" i="29"/>
  <c r="P20" i="29"/>
  <c r="O20" i="29"/>
  <c r="N20" i="29"/>
  <c r="M20" i="29"/>
  <c r="L20" i="29"/>
  <c r="K20" i="29"/>
  <c r="I20" i="29"/>
  <c r="H20" i="29"/>
  <c r="G20" i="29"/>
  <c r="F20" i="29"/>
  <c r="E20" i="29"/>
  <c r="D20" i="29"/>
  <c r="C20" i="29"/>
  <c r="B20" i="29"/>
  <c r="K22" i="157"/>
  <c r="K21" i="157"/>
  <c r="K20" i="157"/>
  <c r="AH200" i="157"/>
  <c r="D36" i="157"/>
  <c r="J35" i="157"/>
  <c r="J34" i="157"/>
  <c r="J33" i="157"/>
  <c r="Q26" i="157"/>
  <c r="AF19" i="29"/>
  <c r="AE19" i="29"/>
  <c r="AD19" i="29"/>
  <c r="AC19" i="29"/>
  <c r="AB19" i="29"/>
  <c r="AA19" i="29"/>
  <c r="Z19" i="29"/>
  <c r="Y19" i="29"/>
  <c r="X19" i="29"/>
  <c r="W19" i="29"/>
  <c r="V19" i="29"/>
  <c r="U19" i="29"/>
  <c r="T19" i="29"/>
  <c r="S19" i="29"/>
  <c r="R19" i="29"/>
  <c r="Q19" i="29"/>
  <c r="P19" i="29"/>
  <c r="O19" i="29"/>
  <c r="N19" i="29"/>
  <c r="M19" i="29"/>
  <c r="L19" i="29"/>
  <c r="K19" i="29"/>
  <c r="I19" i="29"/>
  <c r="H19" i="29"/>
  <c r="G19" i="29"/>
  <c r="F19" i="29"/>
  <c r="E19" i="29"/>
  <c r="D19" i="29"/>
  <c r="C19" i="29"/>
  <c r="B19" i="29"/>
  <c r="K22" i="156"/>
  <c r="K21" i="156"/>
  <c r="K20" i="156"/>
  <c r="AH200" i="156"/>
  <c r="D36" i="156"/>
  <c r="J35" i="156"/>
  <c r="J34" i="156"/>
  <c r="J33" i="156"/>
  <c r="Q26" i="156"/>
  <c r="J85" i="154" l="1"/>
  <c r="J84" i="154"/>
  <c r="J83" i="154"/>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J31" i="154"/>
  <c r="J30" i="154"/>
  <c r="J29" i="154"/>
  <c r="J28" i="154"/>
  <c r="J27" i="154"/>
  <c r="J26" i="154"/>
  <c r="J25" i="154"/>
  <c r="J24" i="154"/>
  <c r="J23" i="154"/>
  <c r="J22" i="154"/>
  <c r="J21" i="154"/>
  <c r="J20" i="154"/>
  <c r="J19" i="154"/>
  <c r="Q17" i="154"/>
  <c r="P17" i="154"/>
  <c r="O17" i="154"/>
  <c r="J85" i="153"/>
  <c r="J84" i="153"/>
  <c r="J83" i="153"/>
  <c r="J82" i="153"/>
  <c r="J81" i="153"/>
  <c r="J80" i="153"/>
  <c r="J79" i="153"/>
  <c r="J78" i="153"/>
  <c r="J77" i="153"/>
  <c r="J76" i="153"/>
  <c r="J75" i="153"/>
  <c r="J74" i="153"/>
  <c r="J73" i="153"/>
  <c r="J72" i="153"/>
  <c r="J71" i="153"/>
  <c r="J70" i="153"/>
  <c r="J69" i="153"/>
  <c r="J68" i="153"/>
  <c r="J67" i="153"/>
  <c r="J66" i="153"/>
  <c r="J65" i="153"/>
  <c r="J64" i="153"/>
  <c r="J63" i="153"/>
  <c r="J62" i="153"/>
  <c r="J61" i="153"/>
  <c r="J60" i="153"/>
  <c r="J59" i="153"/>
  <c r="J58" i="153"/>
  <c r="J57" i="153"/>
  <c r="J56" i="153"/>
  <c r="J55" i="153"/>
  <c r="J54" i="153"/>
  <c r="J53" i="153"/>
  <c r="J52" i="153"/>
  <c r="J51" i="153"/>
  <c r="J50" i="153"/>
  <c r="J49" i="153"/>
  <c r="J48" i="153"/>
  <c r="J47" i="153"/>
  <c r="J46" i="153"/>
  <c r="J45" i="153"/>
  <c r="J44" i="153"/>
  <c r="J43" i="153"/>
  <c r="J42" i="153"/>
  <c r="J41" i="153"/>
  <c r="J40" i="153"/>
  <c r="J39" i="153"/>
  <c r="J38" i="153"/>
  <c r="J37" i="153"/>
  <c r="J36" i="153"/>
  <c r="J35" i="153"/>
  <c r="J34" i="153"/>
  <c r="J33" i="153"/>
  <c r="J32" i="153"/>
  <c r="J31" i="153"/>
  <c r="J30" i="153"/>
  <c r="J29" i="153"/>
  <c r="J28" i="153"/>
  <c r="J27" i="153"/>
  <c r="J26" i="153"/>
  <c r="J25" i="153"/>
  <c r="J24" i="153"/>
  <c r="J23" i="153"/>
  <c r="J22" i="153"/>
  <c r="J21" i="153"/>
  <c r="J20" i="153"/>
  <c r="J19" i="153"/>
  <c r="Q17" i="153"/>
  <c r="P17" i="153"/>
  <c r="O17" i="153"/>
  <c r="J85" i="152"/>
  <c r="J84" i="152"/>
  <c r="J83" i="152"/>
  <c r="J82" i="152"/>
  <c r="J81" i="152"/>
  <c r="J80" i="152"/>
  <c r="J79" i="152"/>
  <c r="J78" i="152"/>
  <c r="J77" i="152"/>
  <c r="J76" i="152"/>
  <c r="J75" i="152"/>
  <c r="J74" i="152"/>
  <c r="J73" i="152"/>
  <c r="J72" i="152"/>
  <c r="J71" i="152"/>
  <c r="J70" i="152"/>
  <c r="J69" i="152"/>
  <c r="J68" i="152"/>
  <c r="J67" i="152"/>
  <c r="J66" i="152"/>
  <c r="J65" i="152"/>
  <c r="J64" i="152"/>
  <c r="J63" i="152"/>
  <c r="J62" i="152"/>
  <c r="J61" i="152"/>
  <c r="J60" i="152"/>
  <c r="J59" i="152"/>
  <c r="J58" i="152"/>
  <c r="J57" i="152"/>
  <c r="J56" i="152"/>
  <c r="J55" i="152"/>
  <c r="J54" i="152"/>
  <c r="J53" i="152"/>
  <c r="J52" i="152"/>
  <c r="J51" i="152"/>
  <c r="J50" i="152"/>
  <c r="J49" i="152"/>
  <c r="J48" i="152"/>
  <c r="J47" i="152"/>
  <c r="J46" i="152"/>
  <c r="J45" i="152"/>
  <c r="J44" i="152"/>
  <c r="J43" i="152"/>
  <c r="J42" i="152"/>
  <c r="J41" i="152"/>
  <c r="J40" i="152"/>
  <c r="J39" i="152"/>
  <c r="J38" i="152"/>
  <c r="J37" i="152"/>
  <c r="J36" i="152"/>
  <c r="J35" i="152"/>
  <c r="J34" i="152"/>
  <c r="J33" i="152"/>
  <c r="J32" i="152"/>
  <c r="J31" i="152"/>
  <c r="J30" i="152"/>
  <c r="J29" i="152"/>
  <c r="J28" i="152"/>
  <c r="J27" i="152"/>
  <c r="J26" i="152"/>
  <c r="J25" i="152"/>
  <c r="J24" i="152"/>
  <c r="J23" i="152"/>
  <c r="J22" i="152"/>
  <c r="J21" i="152"/>
  <c r="J20" i="152"/>
  <c r="J19" i="152"/>
  <c r="Q17" i="152"/>
  <c r="P17" i="152"/>
  <c r="O17" i="152"/>
  <c r="J85" i="151"/>
  <c r="J84" i="151"/>
  <c r="J83" i="151"/>
  <c r="J82" i="151"/>
  <c r="J81" i="151"/>
  <c r="J80" i="151"/>
  <c r="J79" i="151"/>
  <c r="J78" i="151"/>
  <c r="J77" i="151"/>
  <c r="J76" i="151"/>
  <c r="J75" i="151"/>
  <c r="J74" i="151"/>
  <c r="J73" i="151"/>
  <c r="J72" i="151"/>
  <c r="J71" i="151"/>
  <c r="J70" i="151"/>
  <c r="J69" i="151"/>
  <c r="J68" i="151"/>
  <c r="J67" i="151"/>
  <c r="J66" i="151"/>
  <c r="J65" i="151"/>
  <c r="J64" i="151"/>
  <c r="J63" i="151"/>
  <c r="J62" i="151"/>
  <c r="J61" i="151"/>
  <c r="J60" i="151"/>
  <c r="J59" i="151"/>
  <c r="J58" i="151"/>
  <c r="J57" i="151"/>
  <c r="J56" i="151"/>
  <c r="J55" i="151"/>
  <c r="J54" i="151"/>
  <c r="J53" i="151"/>
  <c r="J52" i="151"/>
  <c r="J51" i="151"/>
  <c r="J50" i="151"/>
  <c r="J49" i="151"/>
  <c r="J48" i="151"/>
  <c r="J47" i="151"/>
  <c r="J46" i="151"/>
  <c r="J45" i="151"/>
  <c r="J44" i="151"/>
  <c r="J43" i="151"/>
  <c r="J42" i="151"/>
  <c r="J41" i="151"/>
  <c r="J40" i="151"/>
  <c r="J39" i="151"/>
  <c r="J38" i="151"/>
  <c r="J37" i="151"/>
  <c r="J36" i="151"/>
  <c r="J35" i="151"/>
  <c r="J34" i="151"/>
  <c r="J33" i="151"/>
  <c r="J32" i="151"/>
  <c r="J31" i="151"/>
  <c r="J30" i="151"/>
  <c r="J29" i="151"/>
  <c r="J28" i="151"/>
  <c r="J27" i="151"/>
  <c r="J26" i="151"/>
  <c r="J25" i="151"/>
  <c r="J24" i="151"/>
  <c r="J23" i="151"/>
  <c r="J22" i="151"/>
  <c r="J21" i="151"/>
  <c r="J20" i="151"/>
  <c r="J19" i="151"/>
  <c r="Q17" i="151"/>
  <c r="P17" i="151"/>
  <c r="O17" i="151"/>
  <c r="Q17" i="29" l="1"/>
  <c r="P17" i="29"/>
  <c r="O17" i="29"/>
  <c r="J35" i="50"/>
  <c r="J34" i="50"/>
  <c r="J33" i="50"/>
  <c r="Q26" i="50"/>
  <c r="J21" i="29" l="1"/>
  <c r="J22" i="29"/>
  <c r="J23" i="29"/>
  <c r="J24" i="29"/>
  <c r="J25" i="29"/>
  <c r="J26" i="29"/>
  <c r="J27" i="29"/>
  <c r="J28" i="29"/>
  <c r="J29" i="29"/>
  <c r="J30" i="29"/>
  <c r="J31" i="29"/>
  <c r="J32" i="29"/>
  <c r="J33" i="29"/>
  <c r="J34" i="29"/>
  <c r="J35" i="29"/>
  <c r="J36" i="29"/>
  <c r="J37" i="29"/>
  <c r="J38" i="29"/>
  <c r="J39" i="29"/>
  <c r="J40" i="29"/>
  <c r="J41" i="29"/>
  <c r="J42" i="29"/>
  <c r="J43" i="29"/>
  <c r="J44" i="29"/>
  <c r="J45" i="29"/>
  <c r="J46" i="29"/>
  <c r="J47" i="29"/>
  <c r="J48" i="29"/>
  <c r="J49" i="29"/>
  <c r="J50" i="29"/>
  <c r="J51" i="29"/>
  <c r="J52" i="29"/>
  <c r="J53" i="29"/>
  <c r="J54" i="29"/>
  <c r="J55" i="29"/>
  <c r="J56" i="29"/>
  <c r="J57" i="29"/>
  <c r="J58" i="29"/>
  <c r="J59" i="29"/>
  <c r="J60" i="29"/>
  <c r="J61" i="29"/>
  <c r="J62" i="29"/>
  <c r="J63" i="29"/>
  <c r="J64" i="29"/>
  <c r="J65" i="29"/>
  <c r="J66" i="29"/>
  <c r="J67" i="29"/>
  <c r="J68" i="29"/>
  <c r="J69" i="29"/>
  <c r="J70" i="29"/>
  <c r="J71" i="29"/>
  <c r="J72" i="29"/>
  <c r="J73" i="29"/>
  <c r="J74" i="29"/>
  <c r="J75" i="29"/>
  <c r="J76" i="29"/>
  <c r="J77" i="29"/>
  <c r="J78" i="29"/>
  <c r="J79" i="29"/>
  <c r="J80" i="29"/>
  <c r="J81" i="29"/>
  <c r="J82" i="29"/>
  <c r="J83" i="29"/>
  <c r="J84" i="29"/>
  <c r="J85" i="29"/>
  <c r="J20" i="29"/>
  <c r="J19" i="29"/>
  <c r="H49" i="116" l="1"/>
  <c r="H50" i="116"/>
  <c r="H44" i="116"/>
  <c r="H43" i="116"/>
  <c r="H38" i="116"/>
  <c r="H37" i="116"/>
  <c r="H32" i="116"/>
  <c r="H31" i="116"/>
  <c r="H26" i="116"/>
  <c r="H25" i="116"/>
  <c r="H24" i="116"/>
  <c r="H48" i="116" l="1"/>
  <c r="J49" i="116" s="1"/>
  <c r="H42" i="116"/>
  <c r="J43" i="116" s="1"/>
  <c r="J44" i="116"/>
  <c r="H36" i="116"/>
  <c r="J38" i="116" s="1"/>
  <c r="J37" i="116"/>
  <c r="H30" i="116"/>
  <c r="J31" i="116" s="1"/>
  <c r="J32" i="116"/>
  <c r="J25" i="116"/>
  <c r="J26" i="116"/>
  <c r="D36" i="50"/>
  <c r="AH200" i="50"/>
  <c r="F21" i="28"/>
  <c r="B2" i="154" s="1"/>
  <c r="F20" i="28"/>
  <c r="B2" i="153" s="1"/>
  <c r="F19" i="28"/>
  <c r="B2" i="152" s="1"/>
  <c r="F18" i="28"/>
  <c r="B2" i="151" s="1"/>
  <c r="F17" i="28"/>
  <c r="B2" i="29" s="1"/>
  <c r="J47" i="116"/>
  <c r="J41" i="116"/>
  <c r="J35" i="116"/>
  <c r="J29" i="116"/>
  <c r="J23" i="116"/>
  <c r="J50" i="1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00000000-0006-0000-0200-000001000000}">
      <text>
        <r>
          <rPr>
            <sz val="9"/>
            <color indexed="81"/>
            <rFont val="Tahoma"/>
            <family val="2"/>
          </rPr>
          <t>Dropped ball, caged ball, no ball, etc.</t>
        </r>
      </text>
    </comment>
    <comment ref="D13" authorId="0" shapeId="0" xr:uid="{00000000-0006-0000-0200-000002000000}">
      <text>
        <r>
          <rPr>
            <b/>
            <sz val="9"/>
            <color indexed="81"/>
            <rFont val="Tahoma"/>
            <family val="2"/>
          </rPr>
          <t>Steve:</t>
        </r>
        <r>
          <rPr>
            <sz val="9"/>
            <color indexed="81"/>
            <rFont val="Tahoma"/>
            <family val="2"/>
          </rPr>
          <t xml:space="preserve">
Insert First Name &amp; Last Name</t>
        </r>
      </text>
    </comment>
    <comment ref="D14" authorId="0" shapeId="0" xr:uid="{00000000-0006-0000-0200-000003000000}">
      <text>
        <r>
          <rPr>
            <sz val="9"/>
            <color indexed="81"/>
            <rFont val="Tahoma"/>
            <family val="2"/>
          </rPr>
          <t>Insert First Name &amp; Last Name</t>
        </r>
      </text>
    </comment>
    <comment ref="B28" authorId="0" shapeId="0" xr:uid="{00000000-0006-0000-0200-000004000000}">
      <text>
        <r>
          <rPr>
            <b/>
            <sz val="9"/>
            <color indexed="81"/>
            <rFont val="Tahoma"/>
            <family val="2"/>
          </rPr>
          <t>Start of pumping or when well is opened to start the frac treatment</t>
        </r>
      </text>
    </comment>
    <comment ref="B30" authorId="0" shapeId="0" xr:uid="{00000000-0006-0000-0200-000005000000}">
      <text>
        <r>
          <rPr>
            <b/>
            <sz val="9"/>
            <color indexed="81"/>
            <rFont val="Tahoma"/>
            <family val="2"/>
          </rPr>
          <t>End of frac treatment or when pumps are shutdown to record ISIP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B11" authorId="0" shapeId="0" xr:uid="{00000000-0006-0000-0300-000001000000}">
      <text>
        <r>
          <rPr>
            <b/>
            <sz val="9"/>
            <color indexed="81"/>
            <rFont val="Tahoma"/>
            <family val="2"/>
          </rPr>
          <t>Steve:</t>
        </r>
        <r>
          <rPr>
            <sz val="9"/>
            <color indexed="81"/>
            <rFont val="Tahoma"/>
            <family val="2"/>
          </rPr>
          <t xml:space="preserve">
Shortcut to insert Date with Windows OS is Ctrl + ;</t>
        </r>
      </text>
    </comment>
    <comment ref="C11" authorId="0" shapeId="0" xr:uid="{00000000-0006-0000-0300-000002000000}">
      <text>
        <r>
          <rPr>
            <b/>
            <sz val="9"/>
            <color indexed="81"/>
            <rFont val="Tahoma"/>
            <family val="2"/>
          </rPr>
          <t>Steve:</t>
        </r>
        <r>
          <rPr>
            <sz val="9"/>
            <color indexed="81"/>
            <rFont val="Tahoma"/>
            <family val="2"/>
          </rPr>
          <t xml:space="preserve">
Shortcut to insert time with Windows OS is Ctrl + Shift + ;</t>
        </r>
      </text>
    </comment>
    <comment ref="B72" authorId="0" shapeId="0" xr:uid="{00000000-0006-0000-0300-000003000000}">
      <text>
        <r>
          <rPr>
            <b/>
            <sz val="9"/>
            <color indexed="81"/>
            <rFont val="Tahoma"/>
            <family val="2"/>
          </rPr>
          <t>Steve:</t>
        </r>
        <r>
          <rPr>
            <sz val="9"/>
            <color indexed="81"/>
            <rFont val="Tahoma"/>
            <family val="2"/>
          </rPr>
          <t xml:space="preserve">
Shortcut to insert Date with Windows OS is Ctrl + ;</t>
        </r>
      </text>
    </comment>
    <comment ref="C72" authorId="0" shapeId="0" xr:uid="{00000000-0006-0000-0300-000004000000}">
      <text>
        <r>
          <rPr>
            <b/>
            <sz val="9"/>
            <color indexed="81"/>
            <rFont val="Tahoma"/>
            <family val="2"/>
          </rPr>
          <t>Steve:</t>
        </r>
        <r>
          <rPr>
            <sz val="9"/>
            <color indexed="81"/>
            <rFont val="Tahoma"/>
            <family val="2"/>
          </rPr>
          <t xml:space="preserve">
Shortcut to insert time with Windows OS is Ctrl + Shift + ;</t>
        </r>
      </text>
    </comment>
    <comment ref="B133" authorId="0" shapeId="0" xr:uid="{00000000-0006-0000-0300-000005000000}">
      <text>
        <r>
          <rPr>
            <b/>
            <sz val="9"/>
            <color indexed="81"/>
            <rFont val="Tahoma"/>
            <family val="2"/>
          </rPr>
          <t>Steve:</t>
        </r>
        <r>
          <rPr>
            <sz val="9"/>
            <color indexed="81"/>
            <rFont val="Tahoma"/>
            <family val="2"/>
          </rPr>
          <t xml:space="preserve">
Shortcut to insert Date with Windows OS is Ctrl + ;</t>
        </r>
      </text>
    </comment>
    <comment ref="C133" authorId="0" shapeId="0" xr:uid="{00000000-0006-0000-0300-000006000000}">
      <text>
        <r>
          <rPr>
            <b/>
            <sz val="9"/>
            <color indexed="81"/>
            <rFont val="Tahoma"/>
            <family val="2"/>
          </rPr>
          <t>Steve:</t>
        </r>
        <r>
          <rPr>
            <sz val="9"/>
            <color indexed="81"/>
            <rFont val="Tahoma"/>
            <family val="2"/>
          </rPr>
          <t xml:space="preserve">
Shortcut to insert time with Windows OS is Ctrl + Shift + ;</t>
        </r>
      </text>
    </comment>
    <comment ref="B194" authorId="0" shapeId="0" xr:uid="{00000000-0006-0000-0300-000007000000}">
      <text>
        <r>
          <rPr>
            <b/>
            <sz val="9"/>
            <color indexed="81"/>
            <rFont val="Tahoma"/>
            <family val="2"/>
          </rPr>
          <t>Steve:</t>
        </r>
        <r>
          <rPr>
            <sz val="9"/>
            <color indexed="81"/>
            <rFont val="Tahoma"/>
            <family val="2"/>
          </rPr>
          <t xml:space="preserve">
Shortcut to insert Date with Windows OS is Ctrl + ;</t>
        </r>
      </text>
    </comment>
    <comment ref="C194" authorId="0" shapeId="0" xr:uid="{00000000-0006-0000-0300-000008000000}">
      <text>
        <r>
          <rPr>
            <b/>
            <sz val="9"/>
            <color indexed="81"/>
            <rFont val="Tahoma"/>
            <family val="2"/>
          </rPr>
          <t>Steve:</t>
        </r>
        <r>
          <rPr>
            <sz val="9"/>
            <color indexed="81"/>
            <rFont val="Tahoma"/>
            <family val="2"/>
          </rPr>
          <t xml:space="preserve">
Shortcut to insert time with Windows OS is Ctrl + Shift + ;</t>
        </r>
      </text>
    </comment>
    <comment ref="B255" authorId="0" shapeId="0" xr:uid="{00000000-0006-0000-0300-000009000000}">
      <text>
        <r>
          <rPr>
            <b/>
            <sz val="9"/>
            <color indexed="81"/>
            <rFont val="Tahoma"/>
            <family val="2"/>
          </rPr>
          <t>Steve:</t>
        </r>
        <r>
          <rPr>
            <sz val="9"/>
            <color indexed="81"/>
            <rFont val="Tahoma"/>
            <family val="2"/>
          </rPr>
          <t xml:space="preserve">
Shortcut to insert Date with Windows OS is Ctrl + ;</t>
        </r>
      </text>
    </comment>
    <comment ref="C255" authorId="0" shapeId="0" xr:uid="{00000000-0006-0000-0300-00000A000000}">
      <text>
        <r>
          <rPr>
            <b/>
            <sz val="9"/>
            <color indexed="81"/>
            <rFont val="Tahoma"/>
            <family val="2"/>
          </rPr>
          <t>Steve:</t>
        </r>
        <r>
          <rPr>
            <sz val="9"/>
            <color indexed="81"/>
            <rFont val="Tahoma"/>
            <family val="2"/>
          </rPr>
          <t xml:space="preserve">
Shortcut to insert time with Windows OS is Ctrl + Shift + ;</t>
        </r>
      </text>
    </comment>
    <comment ref="B316" authorId="0" shapeId="0" xr:uid="{00000000-0006-0000-0300-00000B000000}">
      <text>
        <r>
          <rPr>
            <b/>
            <sz val="9"/>
            <color indexed="81"/>
            <rFont val="Tahoma"/>
            <family val="2"/>
          </rPr>
          <t>Steve:</t>
        </r>
        <r>
          <rPr>
            <sz val="9"/>
            <color indexed="81"/>
            <rFont val="Tahoma"/>
            <family val="2"/>
          </rPr>
          <t xml:space="preserve">
Shortcut to insert Date with Windows OS is Ctrl + ;</t>
        </r>
      </text>
    </comment>
    <comment ref="C316" authorId="0" shapeId="0" xr:uid="{00000000-0006-0000-0300-00000C000000}">
      <text>
        <r>
          <rPr>
            <b/>
            <sz val="9"/>
            <color indexed="81"/>
            <rFont val="Tahoma"/>
            <family val="2"/>
          </rPr>
          <t>Steve:</t>
        </r>
        <r>
          <rPr>
            <sz val="9"/>
            <color indexed="81"/>
            <rFont val="Tahoma"/>
            <family val="2"/>
          </rPr>
          <t xml:space="preserve">
Shortcut to insert time with Windows OS is Ctrl + Shift + ;</t>
        </r>
      </text>
    </comment>
    <comment ref="B377" authorId="0" shapeId="0" xr:uid="{00000000-0006-0000-0300-00000D000000}">
      <text>
        <r>
          <rPr>
            <b/>
            <sz val="9"/>
            <color indexed="81"/>
            <rFont val="Tahoma"/>
            <family val="2"/>
          </rPr>
          <t>Steve:</t>
        </r>
        <r>
          <rPr>
            <sz val="9"/>
            <color indexed="81"/>
            <rFont val="Tahoma"/>
            <family val="2"/>
          </rPr>
          <t xml:space="preserve">
Shortcut to insert Date with Windows OS is Ctrl + ;</t>
        </r>
      </text>
    </comment>
    <comment ref="C377" authorId="0" shapeId="0" xr:uid="{00000000-0006-0000-0300-00000E000000}">
      <text>
        <r>
          <rPr>
            <b/>
            <sz val="9"/>
            <color indexed="81"/>
            <rFont val="Tahoma"/>
            <family val="2"/>
          </rPr>
          <t>Steve:</t>
        </r>
        <r>
          <rPr>
            <sz val="9"/>
            <color indexed="81"/>
            <rFont val="Tahoma"/>
            <family val="2"/>
          </rPr>
          <t xml:space="preserve">
Shortcut to insert time with Windows OS is Ctrl + Shift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2DB02D4C-B932-4BC0-A6EB-8044D73D96FA}">
      <text>
        <r>
          <rPr>
            <sz val="9"/>
            <color indexed="81"/>
            <rFont val="Tahoma"/>
            <family val="2"/>
          </rPr>
          <t>Dropped ball, caged ball, no ball, etc.</t>
        </r>
      </text>
    </comment>
    <comment ref="D13" authorId="0" shapeId="0" xr:uid="{FF10BB43-AD40-46E2-85B7-025C8712AAFD}">
      <text>
        <r>
          <rPr>
            <b/>
            <sz val="9"/>
            <color indexed="81"/>
            <rFont val="Tahoma"/>
            <family val="2"/>
          </rPr>
          <t>Steve:</t>
        </r>
        <r>
          <rPr>
            <sz val="9"/>
            <color indexed="81"/>
            <rFont val="Tahoma"/>
            <family val="2"/>
          </rPr>
          <t xml:space="preserve">
Insert First Name &amp; Last Name</t>
        </r>
      </text>
    </comment>
    <comment ref="D14" authorId="0" shapeId="0" xr:uid="{4F405729-0BA0-4672-A812-93EED4B11B22}">
      <text>
        <r>
          <rPr>
            <sz val="9"/>
            <color indexed="81"/>
            <rFont val="Tahoma"/>
            <family val="2"/>
          </rPr>
          <t>Insert First Name &amp; Last Name</t>
        </r>
      </text>
    </comment>
    <comment ref="B28" authorId="0" shapeId="0" xr:uid="{FC9A260F-2078-40D0-AE3A-A3D94AACBDFA}">
      <text>
        <r>
          <rPr>
            <b/>
            <sz val="9"/>
            <color indexed="81"/>
            <rFont val="Tahoma"/>
            <family val="2"/>
          </rPr>
          <t>Start of pumping or when well is opened to start the frac treatment</t>
        </r>
      </text>
    </comment>
    <comment ref="B30" authorId="0" shapeId="0" xr:uid="{910106FB-E652-4369-964A-FEA87039339C}">
      <text>
        <r>
          <rPr>
            <b/>
            <sz val="9"/>
            <color indexed="81"/>
            <rFont val="Tahoma"/>
            <family val="2"/>
          </rPr>
          <t>End of frac treatment or when pumps are shutdown to record ISIP</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497BA676-8F47-4D16-B3B5-24115B7A3B9D}">
      <text>
        <r>
          <rPr>
            <sz val="9"/>
            <color indexed="81"/>
            <rFont val="Tahoma"/>
            <family val="2"/>
          </rPr>
          <t>Dropped ball, caged ball, no ball, etc.</t>
        </r>
      </text>
    </comment>
    <comment ref="D13" authorId="0" shapeId="0" xr:uid="{069268D0-79BD-4351-9202-38A22A813EC4}">
      <text>
        <r>
          <rPr>
            <b/>
            <sz val="9"/>
            <color indexed="81"/>
            <rFont val="Tahoma"/>
            <family val="2"/>
          </rPr>
          <t>Steve:</t>
        </r>
        <r>
          <rPr>
            <sz val="9"/>
            <color indexed="81"/>
            <rFont val="Tahoma"/>
            <family val="2"/>
          </rPr>
          <t xml:space="preserve">
Insert First Name &amp; Last Name</t>
        </r>
      </text>
    </comment>
    <comment ref="D14" authorId="0" shapeId="0" xr:uid="{1E069CF1-5290-48F1-B897-E521243FC437}">
      <text>
        <r>
          <rPr>
            <sz val="9"/>
            <color indexed="81"/>
            <rFont val="Tahoma"/>
            <family val="2"/>
          </rPr>
          <t>Insert First Name &amp; Last Name</t>
        </r>
      </text>
    </comment>
    <comment ref="B28" authorId="0" shapeId="0" xr:uid="{4757F2EA-42B7-4923-B559-18B68305835A}">
      <text>
        <r>
          <rPr>
            <b/>
            <sz val="9"/>
            <color indexed="81"/>
            <rFont val="Tahoma"/>
            <family val="2"/>
          </rPr>
          <t>Start of pumping or when well is opened to start the frac treatment</t>
        </r>
      </text>
    </comment>
    <comment ref="B30" authorId="0" shapeId="0" xr:uid="{FA0BA7F4-9497-4477-B825-0D5D341CC31C}">
      <text>
        <r>
          <rPr>
            <b/>
            <sz val="9"/>
            <color indexed="81"/>
            <rFont val="Tahoma"/>
            <family val="2"/>
          </rPr>
          <t>End of frac treatment or when pumps are shutdown to record ISIP</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41A38DA6-FFD6-4729-914B-E3AD8828EC45}">
      <text>
        <r>
          <rPr>
            <sz val="9"/>
            <color indexed="81"/>
            <rFont val="Tahoma"/>
            <family val="2"/>
          </rPr>
          <t>Dropped ball, caged ball, no ball, etc.</t>
        </r>
      </text>
    </comment>
    <comment ref="D13" authorId="0" shapeId="0" xr:uid="{A2D04155-3490-4683-9E3E-D1F1D3135FD7}">
      <text>
        <r>
          <rPr>
            <b/>
            <sz val="9"/>
            <color indexed="81"/>
            <rFont val="Tahoma"/>
            <family val="2"/>
          </rPr>
          <t>Steve:</t>
        </r>
        <r>
          <rPr>
            <sz val="9"/>
            <color indexed="81"/>
            <rFont val="Tahoma"/>
            <family val="2"/>
          </rPr>
          <t xml:space="preserve">
Insert First Name &amp; Last Name</t>
        </r>
      </text>
    </comment>
    <comment ref="D14" authorId="0" shapeId="0" xr:uid="{42BB4029-851B-4591-9306-785298329EF6}">
      <text>
        <r>
          <rPr>
            <sz val="9"/>
            <color indexed="81"/>
            <rFont val="Tahoma"/>
            <family val="2"/>
          </rPr>
          <t>Insert First Name &amp; Last Name</t>
        </r>
      </text>
    </comment>
    <comment ref="B28" authorId="0" shapeId="0" xr:uid="{9861333E-0C40-437C-B778-EED41473930B}">
      <text>
        <r>
          <rPr>
            <b/>
            <sz val="9"/>
            <color indexed="81"/>
            <rFont val="Tahoma"/>
            <family val="2"/>
          </rPr>
          <t>Start of pumping or when well is opened to start the frac treatment</t>
        </r>
      </text>
    </comment>
    <comment ref="B30" authorId="0" shapeId="0" xr:uid="{7874AF90-58B7-467C-A4CA-0D9432108F4A}">
      <text>
        <r>
          <rPr>
            <b/>
            <sz val="9"/>
            <color indexed="81"/>
            <rFont val="Tahoma"/>
            <family val="2"/>
          </rPr>
          <t>End of frac treatment or when pumps are shutdown to record ISIP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7D8F9F70-F36C-439F-B8CF-0CD312C4B110}">
      <text>
        <r>
          <rPr>
            <sz val="9"/>
            <color indexed="81"/>
            <rFont val="Tahoma"/>
            <family val="2"/>
          </rPr>
          <t>Dropped ball, caged ball, no ball, etc.</t>
        </r>
      </text>
    </comment>
    <comment ref="D13" authorId="0" shapeId="0" xr:uid="{A891CC93-ADAC-488D-9EF0-8324B30E94B5}">
      <text>
        <r>
          <rPr>
            <b/>
            <sz val="9"/>
            <color indexed="81"/>
            <rFont val="Tahoma"/>
            <family val="2"/>
          </rPr>
          <t>Steve:</t>
        </r>
        <r>
          <rPr>
            <sz val="9"/>
            <color indexed="81"/>
            <rFont val="Tahoma"/>
            <family val="2"/>
          </rPr>
          <t xml:space="preserve">
Insert First Name &amp; Last Name</t>
        </r>
      </text>
    </comment>
    <comment ref="D14" authorId="0" shapeId="0" xr:uid="{1D13BB8A-5808-4911-99C1-B0187751F69E}">
      <text>
        <r>
          <rPr>
            <sz val="9"/>
            <color indexed="81"/>
            <rFont val="Tahoma"/>
            <family val="2"/>
          </rPr>
          <t>Insert First Name &amp; Last Name</t>
        </r>
      </text>
    </comment>
    <comment ref="B28" authorId="0" shapeId="0" xr:uid="{09810E81-6F48-4A6B-903E-906524E548F1}">
      <text>
        <r>
          <rPr>
            <b/>
            <sz val="9"/>
            <color indexed="81"/>
            <rFont val="Tahoma"/>
            <family val="2"/>
          </rPr>
          <t>Start of pumping or when well is opened to start the frac treatment</t>
        </r>
      </text>
    </comment>
    <comment ref="B30" authorId="0" shapeId="0" xr:uid="{435FC577-08FD-44F8-AC3C-6E72A14D44E2}">
      <text>
        <r>
          <rPr>
            <b/>
            <sz val="9"/>
            <color indexed="81"/>
            <rFont val="Tahoma"/>
            <family val="2"/>
          </rPr>
          <t>End of frac treatment or when pumps are shutdown to record ISIP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6F41BD13-C22D-4EC2-8282-1DBBAECB1A65}">
      <text>
        <r>
          <rPr>
            <sz val="9"/>
            <color indexed="81"/>
            <rFont val="Tahoma"/>
            <family val="2"/>
          </rPr>
          <t>Dropped ball, caged ball, no ball, etc.</t>
        </r>
      </text>
    </comment>
    <comment ref="D13" authorId="0" shapeId="0" xr:uid="{C18D3335-4686-4D27-A8DD-88FD958C709A}">
      <text>
        <r>
          <rPr>
            <b/>
            <sz val="9"/>
            <color indexed="81"/>
            <rFont val="Tahoma"/>
            <family val="2"/>
          </rPr>
          <t>Steve:</t>
        </r>
        <r>
          <rPr>
            <sz val="9"/>
            <color indexed="81"/>
            <rFont val="Tahoma"/>
            <family val="2"/>
          </rPr>
          <t xml:space="preserve">
Insert First Name &amp; Last Name</t>
        </r>
      </text>
    </comment>
    <comment ref="D14" authorId="0" shapeId="0" xr:uid="{A1312E7E-052B-4400-BBD2-CC1E98F33317}">
      <text>
        <r>
          <rPr>
            <sz val="9"/>
            <color indexed="81"/>
            <rFont val="Tahoma"/>
            <family val="2"/>
          </rPr>
          <t>Insert First Name &amp; Last Name</t>
        </r>
      </text>
    </comment>
    <comment ref="B28" authorId="0" shapeId="0" xr:uid="{33337643-F02E-4DF6-82D9-D6DADC643D59}">
      <text>
        <r>
          <rPr>
            <b/>
            <sz val="9"/>
            <color indexed="81"/>
            <rFont val="Tahoma"/>
            <family val="2"/>
          </rPr>
          <t>Start of pumping or when well is opened to start the frac treatment</t>
        </r>
      </text>
    </comment>
    <comment ref="B30" authorId="0" shapeId="0" xr:uid="{15B7BAD3-5C64-4C2B-A236-DDE9EDE2ABB6}">
      <text>
        <r>
          <rPr>
            <b/>
            <sz val="9"/>
            <color indexed="81"/>
            <rFont val="Tahoma"/>
            <family val="2"/>
          </rPr>
          <t>End of frac treatment or when pumps are shutdown to record ISIP</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71173947-F04D-42AC-A7E1-F484A7DCC758}">
      <text>
        <r>
          <rPr>
            <sz val="9"/>
            <color indexed="81"/>
            <rFont val="Tahoma"/>
            <family val="2"/>
          </rPr>
          <t>Dropped ball, caged ball, no ball, etc.</t>
        </r>
      </text>
    </comment>
    <comment ref="D13" authorId="0" shapeId="0" xr:uid="{867F612C-0613-4189-86C8-E953943DC98D}">
      <text>
        <r>
          <rPr>
            <b/>
            <sz val="9"/>
            <color indexed="81"/>
            <rFont val="Tahoma"/>
            <family val="2"/>
          </rPr>
          <t>Steve:</t>
        </r>
        <r>
          <rPr>
            <sz val="9"/>
            <color indexed="81"/>
            <rFont val="Tahoma"/>
            <family val="2"/>
          </rPr>
          <t xml:space="preserve">
Insert First Name &amp; Last Name</t>
        </r>
      </text>
    </comment>
    <comment ref="D14" authorId="0" shapeId="0" xr:uid="{D498CC31-8D39-4361-A665-D9D96375DA8C}">
      <text>
        <r>
          <rPr>
            <sz val="9"/>
            <color indexed="81"/>
            <rFont val="Tahoma"/>
            <family val="2"/>
          </rPr>
          <t>Insert First Name &amp; Last Name</t>
        </r>
      </text>
    </comment>
    <comment ref="B28" authorId="0" shapeId="0" xr:uid="{AE8ABD84-0072-438C-86F2-300D27EEA8E2}">
      <text>
        <r>
          <rPr>
            <b/>
            <sz val="9"/>
            <color indexed="81"/>
            <rFont val="Tahoma"/>
            <family val="2"/>
          </rPr>
          <t>Start of pumping or when well is opened to start the frac treatment</t>
        </r>
      </text>
    </comment>
    <comment ref="B30" authorId="0" shapeId="0" xr:uid="{70A98BEC-D611-4C09-941E-9D2107A8EEC0}">
      <text>
        <r>
          <rPr>
            <b/>
            <sz val="9"/>
            <color indexed="81"/>
            <rFont val="Tahoma"/>
            <family val="2"/>
          </rPr>
          <t>End of frac treatment or when pumps are shutdown to record ISIP</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070DC739-C83C-4F65-9895-B34A849D17A4}">
      <text>
        <r>
          <rPr>
            <sz val="9"/>
            <color indexed="81"/>
            <rFont val="Tahoma"/>
            <family val="2"/>
          </rPr>
          <t>Dropped ball, caged ball, no ball, etc.</t>
        </r>
      </text>
    </comment>
    <comment ref="D13" authorId="0" shapeId="0" xr:uid="{3AE2735E-5A9C-42AB-ADBD-7F0BF9A79972}">
      <text>
        <r>
          <rPr>
            <b/>
            <sz val="9"/>
            <color indexed="81"/>
            <rFont val="Tahoma"/>
            <family val="2"/>
          </rPr>
          <t>Steve:</t>
        </r>
        <r>
          <rPr>
            <sz val="9"/>
            <color indexed="81"/>
            <rFont val="Tahoma"/>
            <family val="2"/>
          </rPr>
          <t xml:space="preserve">
Insert First Name &amp; Last Name</t>
        </r>
      </text>
    </comment>
    <comment ref="D14" authorId="0" shapeId="0" xr:uid="{789949E6-5C35-4AEF-AF36-3A406346C07D}">
      <text>
        <r>
          <rPr>
            <sz val="9"/>
            <color indexed="81"/>
            <rFont val="Tahoma"/>
            <family val="2"/>
          </rPr>
          <t>Insert First Name &amp; Last Name</t>
        </r>
      </text>
    </comment>
    <comment ref="B28" authorId="0" shapeId="0" xr:uid="{B3127AA7-4FC9-4850-A6F7-0095010E887E}">
      <text>
        <r>
          <rPr>
            <b/>
            <sz val="9"/>
            <color indexed="81"/>
            <rFont val="Tahoma"/>
            <family val="2"/>
          </rPr>
          <t>Start of pumping or when well is opened to start the frac treatment</t>
        </r>
      </text>
    </comment>
    <comment ref="B30" authorId="0" shapeId="0" xr:uid="{27753DED-7984-4966-A77D-C41301D0432E}">
      <text>
        <r>
          <rPr>
            <b/>
            <sz val="9"/>
            <color indexed="81"/>
            <rFont val="Tahoma"/>
            <family val="2"/>
          </rPr>
          <t>End of frac treatment or when pumps are shutdown to record ISIP</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1DFA5350-105F-4631-BDD7-139C6749C1CA}">
      <text>
        <r>
          <rPr>
            <sz val="9"/>
            <color indexed="81"/>
            <rFont val="Tahoma"/>
            <family val="2"/>
          </rPr>
          <t>Dropped ball, caged ball, no ball, etc.</t>
        </r>
      </text>
    </comment>
    <comment ref="D13" authorId="0" shapeId="0" xr:uid="{6705F047-1D11-4F88-B7A3-6348DCA19D82}">
      <text>
        <r>
          <rPr>
            <b/>
            <sz val="9"/>
            <color indexed="81"/>
            <rFont val="Tahoma"/>
            <family val="2"/>
          </rPr>
          <t>Steve:</t>
        </r>
        <r>
          <rPr>
            <sz val="9"/>
            <color indexed="81"/>
            <rFont val="Tahoma"/>
            <family val="2"/>
          </rPr>
          <t xml:space="preserve">
Insert First Name &amp; Last Name</t>
        </r>
      </text>
    </comment>
    <comment ref="D14" authorId="0" shapeId="0" xr:uid="{CF24F13F-00F0-4714-AE30-1597C43F7A25}">
      <text>
        <r>
          <rPr>
            <sz val="9"/>
            <color indexed="81"/>
            <rFont val="Tahoma"/>
            <family val="2"/>
          </rPr>
          <t>Insert First Name &amp; Last Name</t>
        </r>
      </text>
    </comment>
    <comment ref="B28" authorId="0" shapeId="0" xr:uid="{7E2560C0-1B81-4676-8B62-3BA66254BA41}">
      <text>
        <r>
          <rPr>
            <b/>
            <sz val="9"/>
            <color indexed="81"/>
            <rFont val="Tahoma"/>
            <family val="2"/>
          </rPr>
          <t>Start of pumping or when well is opened to start the frac treatment</t>
        </r>
      </text>
    </comment>
    <comment ref="B30" authorId="0" shapeId="0" xr:uid="{0DBCCC54-7EC3-4F9B-8C70-86448F2E662A}">
      <text>
        <r>
          <rPr>
            <b/>
            <sz val="9"/>
            <color indexed="81"/>
            <rFont val="Tahoma"/>
            <family val="2"/>
          </rPr>
          <t>End of frac treatment or when pumps are shutdown to record ISIP</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4DB1ADCF-C5D8-476A-B3C8-F66692CA3479}">
      <text>
        <r>
          <rPr>
            <sz val="9"/>
            <color indexed="81"/>
            <rFont val="Tahoma"/>
            <family val="2"/>
          </rPr>
          <t>Dropped ball, caged ball, no ball, etc.</t>
        </r>
      </text>
    </comment>
    <comment ref="D13" authorId="0" shapeId="0" xr:uid="{B48675C4-8FAB-4964-B1D5-EF0112CD1BB6}">
      <text>
        <r>
          <rPr>
            <b/>
            <sz val="9"/>
            <color indexed="81"/>
            <rFont val="Tahoma"/>
            <family val="2"/>
          </rPr>
          <t>Steve:</t>
        </r>
        <r>
          <rPr>
            <sz val="9"/>
            <color indexed="81"/>
            <rFont val="Tahoma"/>
            <family val="2"/>
          </rPr>
          <t xml:space="preserve">
Insert First Name &amp; Last Name</t>
        </r>
      </text>
    </comment>
    <comment ref="D14" authorId="0" shapeId="0" xr:uid="{AEC230EF-D4CD-48FA-8369-7838BED8FE30}">
      <text>
        <r>
          <rPr>
            <sz val="9"/>
            <color indexed="81"/>
            <rFont val="Tahoma"/>
            <family val="2"/>
          </rPr>
          <t>Insert First Name &amp; Last Name</t>
        </r>
      </text>
    </comment>
    <comment ref="B28" authorId="0" shapeId="0" xr:uid="{45F73E4A-ADF8-4EE4-87CA-FD27BCB4C274}">
      <text>
        <r>
          <rPr>
            <b/>
            <sz val="9"/>
            <color indexed="81"/>
            <rFont val="Tahoma"/>
            <family val="2"/>
          </rPr>
          <t>Start of pumping or when well is opened to start the frac treatment</t>
        </r>
      </text>
    </comment>
    <comment ref="B30" authorId="0" shapeId="0" xr:uid="{458ADAE4-3737-4363-A9C0-07E0508B9BC8}">
      <text>
        <r>
          <rPr>
            <b/>
            <sz val="9"/>
            <color indexed="81"/>
            <rFont val="Tahoma"/>
            <family val="2"/>
          </rPr>
          <t>End of frac treatment or when pumps are shutdown to record ISIP</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A85156C9-5E98-429E-A89F-7476061E55E9}">
      <text>
        <r>
          <rPr>
            <sz val="9"/>
            <color indexed="81"/>
            <rFont val="Tahoma"/>
            <family val="2"/>
          </rPr>
          <t>Dropped ball, caged ball, no ball, etc.</t>
        </r>
      </text>
    </comment>
    <comment ref="D13" authorId="0" shapeId="0" xr:uid="{31249D89-50B3-453A-B157-CBEE11D32C2A}">
      <text>
        <r>
          <rPr>
            <b/>
            <sz val="9"/>
            <color indexed="81"/>
            <rFont val="Tahoma"/>
            <family val="2"/>
          </rPr>
          <t>Steve:</t>
        </r>
        <r>
          <rPr>
            <sz val="9"/>
            <color indexed="81"/>
            <rFont val="Tahoma"/>
            <family val="2"/>
          </rPr>
          <t xml:space="preserve">
Insert First Name &amp; Last Name</t>
        </r>
      </text>
    </comment>
    <comment ref="D14" authorId="0" shapeId="0" xr:uid="{8230814A-8687-426B-9CA8-EF2C817FF111}">
      <text>
        <r>
          <rPr>
            <sz val="9"/>
            <color indexed="81"/>
            <rFont val="Tahoma"/>
            <family val="2"/>
          </rPr>
          <t>Insert First Name &amp; Last Name</t>
        </r>
      </text>
    </comment>
    <comment ref="B28" authorId="0" shapeId="0" xr:uid="{B39D8177-D790-49F6-8B04-7A30E32F26B3}">
      <text>
        <r>
          <rPr>
            <b/>
            <sz val="9"/>
            <color indexed="81"/>
            <rFont val="Tahoma"/>
            <family val="2"/>
          </rPr>
          <t>Start of pumping or when well is opened to start the frac treatment</t>
        </r>
      </text>
    </comment>
    <comment ref="B30" authorId="0" shapeId="0" xr:uid="{24400D14-52D9-4C5B-A3C9-12C2726B4CD4}">
      <text>
        <r>
          <rPr>
            <b/>
            <sz val="9"/>
            <color indexed="81"/>
            <rFont val="Tahoma"/>
            <family val="2"/>
          </rPr>
          <t>End of frac treatment or when pumps are shutdown to record ISIP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4D45314B-59BC-4A50-9F28-9AA365B81573}">
      <text>
        <r>
          <rPr>
            <sz val="9"/>
            <color indexed="81"/>
            <rFont val="Tahoma"/>
            <family val="2"/>
          </rPr>
          <t>Dropped ball, caged ball, no ball, etc.</t>
        </r>
      </text>
    </comment>
    <comment ref="D13" authorId="0" shapeId="0" xr:uid="{8E996773-BD35-411A-BF01-52373068AC0D}">
      <text>
        <r>
          <rPr>
            <b/>
            <sz val="9"/>
            <color indexed="81"/>
            <rFont val="Tahoma"/>
            <family val="2"/>
          </rPr>
          <t>Steve:</t>
        </r>
        <r>
          <rPr>
            <sz val="9"/>
            <color indexed="81"/>
            <rFont val="Tahoma"/>
            <family val="2"/>
          </rPr>
          <t xml:space="preserve">
Insert First Name &amp; Last Name</t>
        </r>
      </text>
    </comment>
    <comment ref="D14" authorId="0" shapeId="0" xr:uid="{43B6D5FA-1352-45E7-B718-8E1440CAE4CA}">
      <text>
        <r>
          <rPr>
            <sz val="9"/>
            <color indexed="81"/>
            <rFont val="Tahoma"/>
            <family val="2"/>
          </rPr>
          <t>Insert First Name &amp; Last Name</t>
        </r>
      </text>
    </comment>
    <comment ref="B28" authorId="0" shapeId="0" xr:uid="{6F52D8CE-51B8-4DBF-BB80-386EF99A57EB}">
      <text>
        <r>
          <rPr>
            <b/>
            <sz val="9"/>
            <color indexed="81"/>
            <rFont val="Tahoma"/>
            <family val="2"/>
          </rPr>
          <t>Start of pumping or when well is opened to start the frac treatment</t>
        </r>
      </text>
    </comment>
    <comment ref="B30" authorId="0" shapeId="0" xr:uid="{952580DE-4CA3-4E02-A784-730CF2805F41}">
      <text>
        <r>
          <rPr>
            <b/>
            <sz val="9"/>
            <color indexed="81"/>
            <rFont val="Tahoma"/>
            <family val="2"/>
          </rPr>
          <t>End of frac treatment or when pumps are shutdown to record ISIP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53E6473B-92C0-4F7A-9825-2C2D653311AC}">
      <text>
        <r>
          <rPr>
            <sz val="9"/>
            <color indexed="81"/>
            <rFont val="Tahoma"/>
            <family val="2"/>
          </rPr>
          <t>Dropped ball, caged ball, no ball, etc.</t>
        </r>
      </text>
    </comment>
    <comment ref="D13" authorId="0" shapeId="0" xr:uid="{E3D0B5D7-7DC0-4022-8EC5-CF613312D2CE}">
      <text>
        <r>
          <rPr>
            <b/>
            <sz val="9"/>
            <color indexed="81"/>
            <rFont val="Tahoma"/>
            <family val="2"/>
          </rPr>
          <t>Steve:</t>
        </r>
        <r>
          <rPr>
            <sz val="9"/>
            <color indexed="81"/>
            <rFont val="Tahoma"/>
            <family val="2"/>
          </rPr>
          <t xml:space="preserve">
Insert First Name &amp; Last Name</t>
        </r>
      </text>
    </comment>
    <comment ref="D14" authorId="0" shapeId="0" xr:uid="{6BC1CD07-6430-4B6E-A78D-A68ADADFB869}">
      <text>
        <r>
          <rPr>
            <sz val="9"/>
            <color indexed="81"/>
            <rFont val="Tahoma"/>
            <family val="2"/>
          </rPr>
          <t>Insert First Name &amp; Last Name</t>
        </r>
      </text>
    </comment>
    <comment ref="B28" authorId="0" shapeId="0" xr:uid="{8E986F9E-5E9F-4EB0-9E00-5347645B2DF7}">
      <text>
        <r>
          <rPr>
            <b/>
            <sz val="9"/>
            <color indexed="81"/>
            <rFont val="Tahoma"/>
            <family val="2"/>
          </rPr>
          <t>Start of pumping or when well is opened to start the frac treatment</t>
        </r>
      </text>
    </comment>
    <comment ref="B30" authorId="0" shapeId="0" xr:uid="{9364C2DE-E295-4099-BC0F-221FA542684F}">
      <text>
        <r>
          <rPr>
            <b/>
            <sz val="9"/>
            <color indexed="81"/>
            <rFont val="Tahoma"/>
            <family val="2"/>
          </rPr>
          <t>End of frac treatment or when pumps are shutdown to record ISIP</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0DF2C7EB-27C0-4AC9-A33F-5B28D21CBF46}">
      <text>
        <r>
          <rPr>
            <sz val="9"/>
            <color indexed="81"/>
            <rFont val="Tahoma"/>
            <family val="2"/>
          </rPr>
          <t>Dropped ball, caged ball, no ball, etc.</t>
        </r>
      </text>
    </comment>
    <comment ref="D13" authorId="0" shapeId="0" xr:uid="{8B73CB06-FDA0-48F2-BD66-39C0DF092628}">
      <text>
        <r>
          <rPr>
            <b/>
            <sz val="9"/>
            <color indexed="81"/>
            <rFont val="Tahoma"/>
            <family val="2"/>
          </rPr>
          <t>Steve:</t>
        </r>
        <r>
          <rPr>
            <sz val="9"/>
            <color indexed="81"/>
            <rFont val="Tahoma"/>
            <family val="2"/>
          </rPr>
          <t xml:space="preserve">
Insert First Name &amp; Last Name</t>
        </r>
      </text>
    </comment>
    <comment ref="D14" authorId="0" shapeId="0" xr:uid="{CCBA5CB5-C3AB-4848-AA1D-95B42E8373AB}">
      <text>
        <r>
          <rPr>
            <sz val="9"/>
            <color indexed="81"/>
            <rFont val="Tahoma"/>
            <family val="2"/>
          </rPr>
          <t>Insert First Name &amp; Last Name</t>
        </r>
      </text>
    </comment>
    <comment ref="B28" authorId="0" shapeId="0" xr:uid="{376ABB9C-2807-4831-8AFF-BB565910EFF5}">
      <text>
        <r>
          <rPr>
            <b/>
            <sz val="9"/>
            <color indexed="81"/>
            <rFont val="Tahoma"/>
            <family val="2"/>
          </rPr>
          <t>Start of pumping or when well is opened to start the frac treatment</t>
        </r>
      </text>
    </comment>
    <comment ref="B30" authorId="0" shapeId="0" xr:uid="{BC53CD88-DBB2-483B-87C8-555FFEA851DC}">
      <text>
        <r>
          <rPr>
            <b/>
            <sz val="9"/>
            <color indexed="81"/>
            <rFont val="Tahoma"/>
            <family val="2"/>
          </rPr>
          <t>End of frac treatment or when pumps are shutdown to record ISIP</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75D1B120-BC50-4577-B105-C3BAEFEF332E}">
      <text>
        <r>
          <rPr>
            <sz val="9"/>
            <color indexed="81"/>
            <rFont val="Tahoma"/>
            <family val="2"/>
          </rPr>
          <t>Dropped ball, caged ball, no ball, etc.</t>
        </r>
      </text>
    </comment>
    <comment ref="D13" authorId="0" shapeId="0" xr:uid="{A1854C47-66FE-413F-A3EB-7C74555F4712}">
      <text>
        <r>
          <rPr>
            <b/>
            <sz val="9"/>
            <color indexed="81"/>
            <rFont val="Tahoma"/>
            <family val="2"/>
          </rPr>
          <t>Steve:</t>
        </r>
        <r>
          <rPr>
            <sz val="9"/>
            <color indexed="81"/>
            <rFont val="Tahoma"/>
            <family val="2"/>
          </rPr>
          <t xml:space="preserve">
Insert First Name &amp; Last Name</t>
        </r>
      </text>
    </comment>
    <comment ref="D14" authorId="0" shapeId="0" xr:uid="{10372CE9-7095-45BA-88BF-4D598FD0B3C4}">
      <text>
        <r>
          <rPr>
            <sz val="9"/>
            <color indexed="81"/>
            <rFont val="Tahoma"/>
            <family val="2"/>
          </rPr>
          <t>Insert First Name &amp; Last Name</t>
        </r>
      </text>
    </comment>
    <comment ref="B28" authorId="0" shapeId="0" xr:uid="{179DF9AD-820D-4663-9A3F-1A2CAA5EB1AE}">
      <text>
        <r>
          <rPr>
            <b/>
            <sz val="9"/>
            <color indexed="81"/>
            <rFont val="Tahoma"/>
            <family val="2"/>
          </rPr>
          <t>Start of pumping or when well is opened to start the frac treatment</t>
        </r>
      </text>
    </comment>
    <comment ref="B30" authorId="0" shapeId="0" xr:uid="{E8785273-BDDA-4D15-B290-1F51FBF3219E}">
      <text>
        <r>
          <rPr>
            <b/>
            <sz val="9"/>
            <color indexed="81"/>
            <rFont val="Tahoma"/>
            <family val="2"/>
          </rPr>
          <t>End of frac treatment or when pumps are shutdown to record ISIP</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B9A602DE-5761-451C-82BD-82C5DCD4DA72}">
      <text>
        <r>
          <rPr>
            <sz val="9"/>
            <color indexed="81"/>
            <rFont val="Tahoma"/>
            <family val="2"/>
          </rPr>
          <t>Dropped ball, caged ball, no ball, etc.</t>
        </r>
      </text>
    </comment>
    <comment ref="D13" authorId="0" shapeId="0" xr:uid="{63D7615D-32C2-42BE-AF9E-00BF317E3130}">
      <text>
        <r>
          <rPr>
            <b/>
            <sz val="9"/>
            <color indexed="81"/>
            <rFont val="Tahoma"/>
            <family val="2"/>
          </rPr>
          <t>Steve:</t>
        </r>
        <r>
          <rPr>
            <sz val="9"/>
            <color indexed="81"/>
            <rFont val="Tahoma"/>
            <family val="2"/>
          </rPr>
          <t xml:space="preserve">
Insert First Name &amp; Last Name</t>
        </r>
      </text>
    </comment>
    <comment ref="D14" authorId="0" shapeId="0" xr:uid="{0BDE3B82-8033-4183-B31C-2706BF0E2195}">
      <text>
        <r>
          <rPr>
            <sz val="9"/>
            <color indexed="81"/>
            <rFont val="Tahoma"/>
            <family val="2"/>
          </rPr>
          <t>Insert First Name &amp; Last Name</t>
        </r>
      </text>
    </comment>
    <comment ref="B28" authorId="0" shapeId="0" xr:uid="{95341907-2182-4CA0-BD44-69E6942B2E85}">
      <text>
        <r>
          <rPr>
            <b/>
            <sz val="9"/>
            <color indexed="81"/>
            <rFont val="Tahoma"/>
            <family val="2"/>
          </rPr>
          <t>Start of pumping or when well is opened to start the frac treatment</t>
        </r>
      </text>
    </comment>
    <comment ref="B30" authorId="0" shapeId="0" xr:uid="{49043BBA-A362-499F-9D2A-46CF43D936ED}">
      <text>
        <r>
          <rPr>
            <b/>
            <sz val="9"/>
            <color indexed="81"/>
            <rFont val="Tahoma"/>
            <family val="2"/>
          </rPr>
          <t>End of frac treatment or when pumps are shutdown to record ISIP</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EA2AB191-236A-4787-906C-75996D74BCE0}">
      <text>
        <r>
          <rPr>
            <sz val="9"/>
            <color indexed="81"/>
            <rFont val="Tahoma"/>
            <family val="2"/>
          </rPr>
          <t>Dropped ball, caged ball, no ball, etc.</t>
        </r>
      </text>
    </comment>
    <comment ref="D13" authorId="0" shapeId="0" xr:uid="{CC05C759-2F24-4AC6-8865-98A067450A4A}">
      <text>
        <r>
          <rPr>
            <b/>
            <sz val="9"/>
            <color indexed="81"/>
            <rFont val="Tahoma"/>
            <family val="2"/>
          </rPr>
          <t>Steve:</t>
        </r>
        <r>
          <rPr>
            <sz val="9"/>
            <color indexed="81"/>
            <rFont val="Tahoma"/>
            <family val="2"/>
          </rPr>
          <t xml:space="preserve">
Insert First Name &amp; Last Name</t>
        </r>
      </text>
    </comment>
    <comment ref="D14" authorId="0" shapeId="0" xr:uid="{AC6473B2-0044-4906-8550-2CD240D6CCEF}">
      <text>
        <r>
          <rPr>
            <sz val="9"/>
            <color indexed="81"/>
            <rFont val="Tahoma"/>
            <family val="2"/>
          </rPr>
          <t>Insert First Name &amp; Last Name</t>
        </r>
      </text>
    </comment>
    <comment ref="B28" authorId="0" shapeId="0" xr:uid="{AE32C3AD-1C20-42EC-8A4E-A9CC4A6EC1CA}">
      <text>
        <r>
          <rPr>
            <b/>
            <sz val="9"/>
            <color indexed="81"/>
            <rFont val="Tahoma"/>
            <family val="2"/>
          </rPr>
          <t>Start of pumping or when well is opened to start the frac treatment</t>
        </r>
      </text>
    </comment>
    <comment ref="B30" authorId="0" shapeId="0" xr:uid="{ECE56FE8-122B-4833-8A87-443BFB27A278}">
      <text>
        <r>
          <rPr>
            <b/>
            <sz val="9"/>
            <color indexed="81"/>
            <rFont val="Tahoma"/>
            <family val="2"/>
          </rPr>
          <t>End of frac treatment or when pumps are shutdown to record ISIP</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BD0F8C7D-628D-4F88-8AC3-9AC784D3AF20}">
      <text>
        <r>
          <rPr>
            <sz val="9"/>
            <color indexed="81"/>
            <rFont val="Tahoma"/>
            <family val="2"/>
          </rPr>
          <t>Dropped ball, caged ball, no ball, etc.</t>
        </r>
      </text>
    </comment>
    <comment ref="D13" authorId="0" shapeId="0" xr:uid="{400C1038-89F2-47A1-A551-F4FD8DEBFED4}">
      <text>
        <r>
          <rPr>
            <b/>
            <sz val="9"/>
            <color indexed="81"/>
            <rFont val="Tahoma"/>
            <family val="2"/>
          </rPr>
          <t>Steve:</t>
        </r>
        <r>
          <rPr>
            <sz val="9"/>
            <color indexed="81"/>
            <rFont val="Tahoma"/>
            <family val="2"/>
          </rPr>
          <t xml:space="preserve">
Insert First Name &amp; Last Name</t>
        </r>
      </text>
    </comment>
    <comment ref="D14" authorId="0" shapeId="0" xr:uid="{A09EDEB1-8356-4208-9756-543A5084550A}">
      <text>
        <r>
          <rPr>
            <sz val="9"/>
            <color indexed="81"/>
            <rFont val="Tahoma"/>
            <family val="2"/>
          </rPr>
          <t>Insert First Name &amp; Last Name</t>
        </r>
      </text>
    </comment>
    <comment ref="B28" authorId="0" shapeId="0" xr:uid="{3CC24009-18FD-4F63-BA16-8C1968F01AC1}">
      <text>
        <r>
          <rPr>
            <b/>
            <sz val="9"/>
            <color indexed="81"/>
            <rFont val="Tahoma"/>
            <family val="2"/>
          </rPr>
          <t>Start of pumping or when well is opened to start the frac treatment</t>
        </r>
      </text>
    </comment>
    <comment ref="B30" authorId="0" shapeId="0" xr:uid="{99F37911-59E5-4A08-B7C2-C17CCB46FFF7}">
      <text>
        <r>
          <rPr>
            <b/>
            <sz val="9"/>
            <color indexed="81"/>
            <rFont val="Tahoma"/>
            <family val="2"/>
          </rPr>
          <t>End of frac treatment or when pumps are shutdown to record ISIP</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F0278EA9-A509-43FC-B2F7-94B8C8177C5D}">
      <text>
        <r>
          <rPr>
            <sz val="9"/>
            <color indexed="81"/>
            <rFont val="Tahoma"/>
            <family val="2"/>
          </rPr>
          <t>Dropped ball, caged ball, no ball, etc.</t>
        </r>
      </text>
    </comment>
    <comment ref="D13" authorId="0" shapeId="0" xr:uid="{F5ACD07B-0B95-4FC7-82AB-45E664912ACC}">
      <text>
        <r>
          <rPr>
            <b/>
            <sz val="9"/>
            <color indexed="81"/>
            <rFont val="Tahoma"/>
            <family val="2"/>
          </rPr>
          <t>Steve:</t>
        </r>
        <r>
          <rPr>
            <sz val="9"/>
            <color indexed="81"/>
            <rFont val="Tahoma"/>
            <family val="2"/>
          </rPr>
          <t xml:space="preserve">
Insert First Name &amp; Last Name</t>
        </r>
      </text>
    </comment>
    <comment ref="D14" authorId="0" shapeId="0" xr:uid="{9511EBF9-2196-4ED7-9DC9-42D2DAC1DED6}">
      <text>
        <r>
          <rPr>
            <sz val="9"/>
            <color indexed="81"/>
            <rFont val="Tahoma"/>
            <family val="2"/>
          </rPr>
          <t>Insert First Name &amp; Last Name</t>
        </r>
      </text>
    </comment>
    <comment ref="B28" authorId="0" shapeId="0" xr:uid="{8F1DF012-29A3-4DD7-A613-D366C15F0702}">
      <text>
        <r>
          <rPr>
            <b/>
            <sz val="9"/>
            <color indexed="81"/>
            <rFont val="Tahoma"/>
            <family val="2"/>
          </rPr>
          <t>Start of pumping or when well is opened to start the frac treatment</t>
        </r>
      </text>
    </comment>
    <comment ref="B30" authorId="0" shapeId="0" xr:uid="{4519D1A7-C184-4BC5-B5BB-577F484D499E}">
      <text>
        <r>
          <rPr>
            <b/>
            <sz val="9"/>
            <color indexed="81"/>
            <rFont val="Tahoma"/>
            <family val="2"/>
          </rPr>
          <t>End of frac treatment or when pumps are shutdown to record ISIP</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D75BEFB2-3B79-49CA-8474-827C121BC4C6}">
      <text>
        <r>
          <rPr>
            <sz val="9"/>
            <color indexed="81"/>
            <rFont val="Tahoma"/>
            <family val="2"/>
          </rPr>
          <t>Dropped ball, caged ball, no ball, etc.</t>
        </r>
      </text>
    </comment>
    <comment ref="D13" authorId="0" shapeId="0" xr:uid="{29B0A975-C026-4572-934D-CC8FF038A09A}">
      <text>
        <r>
          <rPr>
            <b/>
            <sz val="9"/>
            <color indexed="81"/>
            <rFont val="Tahoma"/>
            <family val="2"/>
          </rPr>
          <t>Steve:</t>
        </r>
        <r>
          <rPr>
            <sz val="9"/>
            <color indexed="81"/>
            <rFont val="Tahoma"/>
            <family val="2"/>
          </rPr>
          <t xml:space="preserve">
Insert First Name &amp; Last Name</t>
        </r>
      </text>
    </comment>
    <comment ref="D14" authorId="0" shapeId="0" xr:uid="{168913BC-F4FE-491A-BCFF-8F1F9A1E6F45}">
      <text>
        <r>
          <rPr>
            <sz val="9"/>
            <color indexed="81"/>
            <rFont val="Tahoma"/>
            <family val="2"/>
          </rPr>
          <t>Insert First Name &amp; Last Name</t>
        </r>
      </text>
    </comment>
    <comment ref="B28" authorId="0" shapeId="0" xr:uid="{AA218D37-13AB-4276-A8F7-11D7E49F8436}">
      <text>
        <r>
          <rPr>
            <b/>
            <sz val="9"/>
            <color indexed="81"/>
            <rFont val="Tahoma"/>
            <family val="2"/>
          </rPr>
          <t>Start of pumping or when well is opened to start the frac treatment</t>
        </r>
      </text>
    </comment>
    <comment ref="B30" authorId="0" shapeId="0" xr:uid="{F0BF05B0-F859-40FC-B01E-80630FEE5271}">
      <text>
        <r>
          <rPr>
            <b/>
            <sz val="9"/>
            <color indexed="81"/>
            <rFont val="Tahoma"/>
            <family val="2"/>
          </rPr>
          <t>End of frac treatment or when pumps are shutdown to record ISIP</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K12" authorId="0" shapeId="0" xr:uid="{A4E7AAD1-484E-4389-B3F2-E45B962FA879}">
      <text>
        <r>
          <rPr>
            <sz val="9"/>
            <color indexed="81"/>
            <rFont val="Tahoma"/>
            <family val="2"/>
          </rPr>
          <t>Dropped ball, caged ball, no ball, etc.</t>
        </r>
      </text>
    </comment>
    <comment ref="D13" authorId="0" shapeId="0" xr:uid="{768F28B5-D128-4888-8F3D-D5A98C1AAE04}">
      <text>
        <r>
          <rPr>
            <b/>
            <sz val="9"/>
            <color indexed="81"/>
            <rFont val="Tahoma"/>
            <family val="2"/>
          </rPr>
          <t>Steve:</t>
        </r>
        <r>
          <rPr>
            <sz val="9"/>
            <color indexed="81"/>
            <rFont val="Tahoma"/>
            <family val="2"/>
          </rPr>
          <t xml:space="preserve">
Insert First Name &amp; Last Name</t>
        </r>
      </text>
    </comment>
    <comment ref="D14" authorId="0" shapeId="0" xr:uid="{883303FA-38AD-4DDD-A37F-7967D47A853E}">
      <text>
        <r>
          <rPr>
            <sz val="9"/>
            <color indexed="81"/>
            <rFont val="Tahoma"/>
            <family val="2"/>
          </rPr>
          <t>Insert First Name &amp; Last Name</t>
        </r>
      </text>
    </comment>
    <comment ref="B28" authorId="0" shapeId="0" xr:uid="{D285BAC9-E9F0-488F-92CB-9F388255BC23}">
      <text>
        <r>
          <rPr>
            <b/>
            <sz val="9"/>
            <color indexed="81"/>
            <rFont val="Tahoma"/>
            <family val="2"/>
          </rPr>
          <t>Start of pumping or when well is opened to start the frac treatment</t>
        </r>
      </text>
    </comment>
    <comment ref="B30" authorId="0" shapeId="0" xr:uid="{83F0951C-0108-4BB6-80C3-57902E45FC7F}">
      <text>
        <r>
          <rPr>
            <b/>
            <sz val="9"/>
            <color indexed="81"/>
            <rFont val="Tahoma"/>
            <family val="2"/>
          </rPr>
          <t>End of frac treatment or when pumps are shutdown to record ISIP</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Steve</author>
  </authors>
  <commentList>
    <comment ref="C11" authorId="0" shapeId="0" xr:uid="{00000000-0006-0000-0A00-000001000000}">
      <text>
        <r>
          <rPr>
            <b/>
            <sz val="9"/>
            <color indexed="81"/>
            <rFont val="Tahoma"/>
            <family val="2"/>
          </rPr>
          <t>Steve:</t>
        </r>
        <r>
          <rPr>
            <sz val="9"/>
            <color indexed="81"/>
            <rFont val="Tahoma"/>
            <family val="2"/>
          </rPr>
          <t xml:space="preserve">
Shortcut to insert time with Windows OS is Ctrl + Shift + ;</t>
        </r>
      </text>
    </comment>
    <comment ref="C72" authorId="0" shapeId="0" xr:uid="{00000000-0006-0000-0A00-000002000000}">
      <text>
        <r>
          <rPr>
            <b/>
            <sz val="9"/>
            <color indexed="81"/>
            <rFont val="Tahoma"/>
            <family val="2"/>
          </rPr>
          <t>Steve:</t>
        </r>
        <r>
          <rPr>
            <sz val="9"/>
            <color indexed="81"/>
            <rFont val="Tahoma"/>
            <family val="2"/>
          </rPr>
          <t xml:space="preserve">
Shortcut to insert time with Windows OS is Ctrl + Shift + ;</t>
        </r>
      </text>
    </comment>
    <comment ref="C133" authorId="0" shapeId="0" xr:uid="{00000000-0006-0000-0A00-000003000000}">
      <text>
        <r>
          <rPr>
            <b/>
            <sz val="9"/>
            <color indexed="81"/>
            <rFont val="Tahoma"/>
            <family val="2"/>
          </rPr>
          <t>Steve:</t>
        </r>
        <r>
          <rPr>
            <sz val="9"/>
            <color indexed="81"/>
            <rFont val="Tahoma"/>
            <family val="2"/>
          </rPr>
          <t xml:space="preserve">
Shortcut to insert time with Windows OS is Ctrl + Shift + ;</t>
        </r>
      </text>
    </comment>
    <comment ref="C194" authorId="0" shapeId="0" xr:uid="{00000000-0006-0000-0A00-000004000000}">
      <text>
        <r>
          <rPr>
            <b/>
            <sz val="9"/>
            <color indexed="81"/>
            <rFont val="Tahoma"/>
            <family val="2"/>
          </rPr>
          <t>Steve:</t>
        </r>
        <r>
          <rPr>
            <sz val="9"/>
            <color indexed="81"/>
            <rFont val="Tahoma"/>
            <family val="2"/>
          </rPr>
          <t xml:space="preserve">
Shortcut to insert time with Windows OS is Ctrl + Shift + ;</t>
        </r>
      </text>
    </comment>
    <comment ref="C255" authorId="0" shapeId="0" xr:uid="{00000000-0006-0000-0A00-000005000000}">
      <text>
        <r>
          <rPr>
            <b/>
            <sz val="9"/>
            <color indexed="81"/>
            <rFont val="Tahoma"/>
            <family val="2"/>
          </rPr>
          <t>Steve:</t>
        </r>
        <r>
          <rPr>
            <sz val="9"/>
            <color indexed="81"/>
            <rFont val="Tahoma"/>
            <family val="2"/>
          </rPr>
          <t xml:space="preserve">
Shortcut to insert time with Windows OS is Ctrl + Shift + ;</t>
        </r>
      </text>
    </comment>
    <comment ref="C316" authorId="0" shapeId="0" xr:uid="{00000000-0006-0000-0A00-000006000000}">
      <text>
        <r>
          <rPr>
            <b/>
            <sz val="9"/>
            <color indexed="81"/>
            <rFont val="Tahoma"/>
            <family val="2"/>
          </rPr>
          <t>Steve:</t>
        </r>
        <r>
          <rPr>
            <sz val="9"/>
            <color indexed="81"/>
            <rFont val="Tahoma"/>
            <family val="2"/>
          </rPr>
          <t xml:space="preserve">
Shortcut to insert time with Windows OS is Ctrl + Shift + ;</t>
        </r>
      </text>
    </comment>
    <comment ref="C377" authorId="0" shapeId="0" xr:uid="{00000000-0006-0000-0A00-000007000000}">
      <text>
        <r>
          <rPr>
            <b/>
            <sz val="9"/>
            <color indexed="81"/>
            <rFont val="Tahoma"/>
            <family val="2"/>
          </rPr>
          <t>Steve:</t>
        </r>
        <r>
          <rPr>
            <sz val="9"/>
            <color indexed="81"/>
            <rFont val="Tahoma"/>
            <family val="2"/>
          </rPr>
          <t xml:space="preserve">
Shortcut to insert time with Windows OS is Ctrl + Shift + ;</t>
        </r>
      </text>
    </comment>
  </commentList>
</comments>
</file>

<file path=xl/sharedStrings.xml><?xml version="1.0" encoding="utf-8"?>
<sst xmlns="http://schemas.openxmlformats.org/spreadsheetml/2006/main" count="2685" uniqueCount="201">
  <si>
    <t>Well Name:</t>
  </si>
  <si>
    <t>Company:</t>
  </si>
  <si>
    <t>Date:</t>
  </si>
  <si>
    <t>Start Time:</t>
  </si>
  <si>
    <t>Field Engineer:</t>
  </si>
  <si>
    <t>Actual</t>
  </si>
  <si>
    <t>Design</t>
  </si>
  <si>
    <t>SPF:</t>
  </si>
  <si>
    <t>Acid:</t>
  </si>
  <si>
    <t>Casing</t>
  </si>
  <si>
    <t>Date</t>
  </si>
  <si>
    <t>Client:</t>
  </si>
  <si>
    <t>Location:</t>
  </si>
  <si>
    <r>
      <rPr>
        <u/>
        <sz val="11"/>
        <color theme="1"/>
        <rFont val="Calibri"/>
        <family val="2"/>
        <scheme val="minor"/>
      </rPr>
      <t>Nearest Hospital</t>
    </r>
    <r>
      <rPr>
        <sz val="11"/>
        <color theme="1"/>
        <rFont val="Calibri"/>
        <family val="2"/>
        <scheme val="minor"/>
      </rPr>
      <t>:</t>
    </r>
  </si>
  <si>
    <t>Project Supervisor:</t>
  </si>
  <si>
    <r>
      <rPr>
        <u/>
        <sz val="11"/>
        <color theme="1"/>
        <rFont val="Calibri"/>
        <family val="2"/>
        <scheme val="minor"/>
      </rPr>
      <t>Supervisor on Location</t>
    </r>
    <r>
      <rPr>
        <sz val="11"/>
        <color theme="1"/>
        <rFont val="Calibri"/>
        <family val="2"/>
        <scheme val="minor"/>
      </rPr>
      <t>:</t>
    </r>
  </si>
  <si>
    <t>Unit No:</t>
  </si>
  <si>
    <r>
      <rPr>
        <u/>
        <sz val="11"/>
        <color theme="1"/>
        <rFont val="Calibri"/>
        <family val="2"/>
        <scheme val="minor"/>
      </rPr>
      <t>Outline of Job:</t>
    </r>
    <r>
      <rPr>
        <sz val="11"/>
        <color theme="1"/>
        <rFont val="Calibri"/>
        <family val="2"/>
        <scheme val="minor"/>
      </rPr>
      <t xml:space="preserve">    Perform K frac service on each well to collect data both actively and passively by Pulsing pre frac (3 pulses) and post frac (10 pulses) per each stage while working safely</t>
    </r>
  </si>
  <si>
    <t>General Job Hazards</t>
  </si>
  <si>
    <t>When signing this form you are acknowledging that you have reviewed, you understand and you will follow the safety recommendations given to reduce the risk associated with potential hazards identified in the attached JSA.  If appropriate, you have revised the JSA to reflect potential hazards that were not foreseen in the original assessment..</t>
  </si>
  <si>
    <t>Name:</t>
  </si>
  <si>
    <t>Signature:</t>
  </si>
  <si>
    <t>Customer:</t>
  </si>
  <si>
    <t>County:</t>
  </si>
  <si>
    <t>Start Date:</t>
  </si>
  <si>
    <t>Type</t>
  </si>
  <si>
    <t>(ONLY PUSH BUTTON ONCE!)</t>
  </si>
  <si>
    <t># of Stages</t>
  </si>
  <si>
    <t>Well Name</t>
  </si>
  <si>
    <t>Steven Bourgoyne</t>
  </si>
  <si>
    <t>Field:</t>
  </si>
  <si>
    <t>Well Name[s]:</t>
  </si>
  <si>
    <t>State:</t>
  </si>
  <si>
    <t>Basin:</t>
  </si>
  <si>
    <t>Formation:</t>
  </si>
  <si>
    <t>Customer Field Rep:</t>
  </si>
  <si>
    <t>End Date:</t>
  </si>
  <si>
    <t>AFE #:</t>
  </si>
  <si>
    <t>Rep Contact #:</t>
  </si>
  <si>
    <t>Well:</t>
  </si>
  <si>
    <t>Liner #1</t>
  </si>
  <si>
    <t>Liner #2</t>
  </si>
  <si>
    <t>OD</t>
  </si>
  <si>
    <t>Wt</t>
  </si>
  <si>
    <t>ID</t>
  </si>
  <si>
    <t>Depth</t>
  </si>
  <si>
    <t>TOL</t>
  </si>
  <si>
    <t>bbls</t>
  </si>
  <si>
    <t>gallons</t>
  </si>
  <si>
    <t>Surface Vol. [bbls]</t>
  </si>
  <si>
    <t>Seismos Crew</t>
  </si>
  <si>
    <t>Phone #:</t>
  </si>
  <si>
    <t>Engineering Manager:</t>
  </si>
  <si>
    <t>(337) 257 -7723</t>
  </si>
  <si>
    <t>Customer &amp; Well Info</t>
  </si>
  <si>
    <t>Well Volumes</t>
  </si>
  <si>
    <t>Prejob Data</t>
  </si>
  <si>
    <t>Job #:</t>
  </si>
  <si>
    <t>Pad Name:</t>
  </si>
  <si>
    <t>Stage Tracking</t>
  </si>
  <si>
    <t>Field Engineer (Days):</t>
  </si>
  <si>
    <t>Field Engieer (Nights):</t>
  </si>
  <si>
    <t>Stage #:</t>
  </si>
  <si>
    <r>
      <t>BHT [</t>
    </r>
    <r>
      <rPr>
        <b/>
        <sz val="12"/>
        <rFont val="Calibri"/>
        <family val="2"/>
      </rPr>
      <t>°</t>
    </r>
    <r>
      <rPr>
        <b/>
        <sz val="12"/>
        <rFont val="Arial"/>
        <family val="2"/>
      </rPr>
      <t>F]:</t>
    </r>
  </si>
  <si>
    <t>Plug Type:</t>
  </si>
  <si>
    <t>Frac Design:</t>
  </si>
  <si>
    <t>Perforation Interval Information</t>
  </si>
  <si>
    <t>Top Perf [MD]:</t>
  </si>
  <si>
    <t>Btm Perf [MD]:</t>
  </si>
  <si>
    <t>Plug Depth [MD]:</t>
  </si>
  <si>
    <t>Pumped Diverter:</t>
  </si>
  <si>
    <t>Diverter Type:</t>
  </si>
  <si>
    <t># of Clusters:</t>
  </si>
  <si>
    <t>Top Perf [bbls]:</t>
  </si>
  <si>
    <t>Btm Perf [bbls]:</t>
  </si>
  <si>
    <t>Plug [bbls]:</t>
  </si>
  <si>
    <t>Displacement Volume</t>
  </si>
  <si>
    <t>Stage Data</t>
  </si>
  <si>
    <t>Stage Start Time:</t>
  </si>
  <si>
    <t>Stage End Time:</t>
  </si>
  <si>
    <t>ISIP [psi]:</t>
  </si>
  <si>
    <t>Opening Well [psi]:</t>
  </si>
  <si>
    <t>Proppant #1 Data</t>
  </si>
  <si>
    <t>Description</t>
  </si>
  <si>
    <t>Description:</t>
  </si>
  <si>
    <t>Specific Gravity:</t>
  </si>
  <si>
    <t>Proppant #2 Data (If applicable)</t>
  </si>
  <si>
    <t>Proppant #3 Data (If applicable)</t>
  </si>
  <si>
    <t>Pumping Summary</t>
  </si>
  <si>
    <t>Fluid Parameters</t>
  </si>
  <si>
    <t>Base Fluid Type:</t>
  </si>
  <si>
    <t>Max Prop Conc [ppa]:</t>
  </si>
  <si>
    <t>Total Pad Volume [bbls]:</t>
  </si>
  <si>
    <t>Flush Volume [bbls]:</t>
  </si>
  <si>
    <t>Max Conc Density [ppg]:</t>
  </si>
  <si>
    <t>Base Fluid Density [ppg]:</t>
  </si>
  <si>
    <t>Acid Volume [gals]:</t>
  </si>
  <si>
    <t>Last 3 Fluids Injected Into Formation</t>
  </si>
  <si>
    <t>[bbls]</t>
  </si>
  <si>
    <t>[ppg]</t>
  </si>
  <si>
    <t>Order</t>
  </si>
  <si>
    <t>Last</t>
  </si>
  <si>
    <t>2nd to Last</t>
  </si>
  <si>
    <t>3rd to Last</t>
  </si>
  <si>
    <t>Active Data</t>
  </si>
  <si>
    <t>Pulsing Parameters</t>
  </si>
  <si>
    <t>Pre-frac Pulses</t>
  </si>
  <si>
    <t>Post-frac Pulses</t>
  </si>
  <si>
    <t>Stage Generator</t>
  </si>
  <si>
    <t>Daily Log</t>
  </si>
  <si>
    <t>Job Activity Log</t>
  </si>
  <si>
    <t>Time</t>
  </si>
  <si>
    <t>Plug Seat Technique:</t>
  </si>
  <si>
    <t>Seismos Data Collection:</t>
  </si>
  <si>
    <t>Workstring #1</t>
  </si>
  <si>
    <t>Workstring #2</t>
  </si>
  <si>
    <t>Workstring #3</t>
  </si>
  <si>
    <t>Coil Tubing</t>
  </si>
  <si>
    <t>Wave Type:</t>
  </si>
  <si>
    <t>Periods:</t>
  </si>
  <si>
    <t>Freq [Hz]:</t>
  </si>
  <si>
    <t>Amplitude:</t>
  </si>
  <si>
    <t>Offset [V]:</t>
  </si>
  <si>
    <t>End Time:</t>
  </si>
  <si>
    <t># of Pulses:</t>
  </si>
  <si>
    <r>
      <t>Bulk Density [lbs/ft</t>
    </r>
    <r>
      <rPr>
        <b/>
        <vertAlign val="superscript"/>
        <sz val="12"/>
        <color theme="1"/>
        <rFont val="Arial"/>
        <family val="2"/>
      </rPr>
      <t>3</t>
    </r>
    <r>
      <rPr>
        <b/>
        <sz val="12"/>
        <color theme="1"/>
        <rFont val="Arial"/>
        <family val="2"/>
      </rPr>
      <t>]:</t>
    </r>
  </si>
  <si>
    <t>Slickwater</t>
  </si>
  <si>
    <t>Linear Gel</t>
  </si>
  <si>
    <t>Crosslink</t>
  </si>
  <si>
    <t>Hybrid</t>
  </si>
  <si>
    <t>N/A</t>
  </si>
  <si>
    <t>Yes</t>
  </si>
  <si>
    <t>No</t>
  </si>
  <si>
    <t>Active</t>
  </si>
  <si>
    <t>Passive</t>
  </si>
  <si>
    <t>Active/Passive</t>
  </si>
  <si>
    <t>Perf Diameter [in]:</t>
  </si>
  <si>
    <t>Square Wave</t>
  </si>
  <si>
    <t>Triangle Wave</t>
  </si>
  <si>
    <t>Sine Wave</t>
  </si>
  <si>
    <r>
      <rPr>
        <u/>
        <sz val="11"/>
        <color theme="1"/>
        <rFont val="Calibri"/>
        <family val="2"/>
        <scheme val="minor"/>
      </rPr>
      <t>Description of equipment:</t>
    </r>
    <r>
      <rPr>
        <sz val="11"/>
        <color theme="1"/>
        <rFont val="Calibri"/>
        <family val="2"/>
        <scheme val="minor"/>
      </rPr>
      <t xml:space="preserve">     Source, (2) sensors attached to wellhead. Power pack near wellhead contains pressure on it up to 4000psi in accumulator bottle with hoses ran to the source to allow for pulses, always assume pressurized and to </t>
    </r>
    <r>
      <rPr>
        <u/>
        <sz val="11"/>
        <color theme="1"/>
        <rFont val="Calibri"/>
        <family val="2"/>
        <scheme val="minor"/>
      </rPr>
      <t>only be worked on by a Seismos employee</t>
    </r>
    <r>
      <rPr>
        <sz val="11"/>
        <color theme="1"/>
        <rFont val="Calibri"/>
        <family val="2"/>
        <scheme val="minor"/>
      </rPr>
      <t>. Cables ran from sensors to trailer. Power cables ran to source from generator and seismos trailer.</t>
    </r>
  </si>
  <si>
    <t>Other Notes, Comments, Risks, Concerns:</t>
  </si>
  <si>
    <t>JSA Form</t>
  </si>
  <si>
    <t>#</t>
  </si>
  <si>
    <t>Stage</t>
  </si>
  <si>
    <t>Stage Start Time</t>
  </si>
  <si>
    <t>[hh:mm:ss]</t>
  </si>
  <si>
    <t>Pre-frac Pulse End Time</t>
  </si>
  <si>
    <t>Pre-Frac Pulse Start Time</t>
  </si>
  <si>
    <t>Stage End Time</t>
  </si>
  <si>
    <t>Well Opening Pressure</t>
  </si>
  <si>
    <t>[psi]</t>
  </si>
  <si>
    <t>ISIP</t>
  </si>
  <si>
    <t>Total Pad Volume</t>
  </si>
  <si>
    <t>[lbs]</t>
  </si>
  <si>
    <t>Flush Volume</t>
  </si>
  <si>
    <t>[mm/dd/yyyy]</t>
  </si>
  <si>
    <t>[#]</t>
  </si>
  <si>
    <t>Plug Depth</t>
  </si>
  <si>
    <t>[ft]</t>
  </si>
  <si>
    <t>Plug Shift</t>
  </si>
  <si>
    <t>[yes/no]</t>
  </si>
  <si>
    <t>Clusters</t>
  </si>
  <si>
    <t>Last Fluid Injected</t>
  </si>
  <si>
    <t>Fluid Type</t>
  </si>
  <si>
    <t>BHT</t>
  </si>
  <si>
    <r>
      <t>[</t>
    </r>
    <r>
      <rPr>
        <b/>
        <sz val="12"/>
        <color theme="1"/>
        <rFont val="Calibri"/>
        <family val="2"/>
      </rPr>
      <t>°</t>
    </r>
    <r>
      <rPr>
        <b/>
        <sz val="12"/>
        <color theme="1"/>
        <rFont val="Arial"/>
        <family val="2"/>
      </rPr>
      <t>F]</t>
    </r>
  </si>
  <si>
    <t>Option Button Selects Prop for Calcs</t>
  </si>
  <si>
    <t>Last Fluid Volume</t>
  </si>
  <si>
    <t>2nd to Last Volume</t>
  </si>
  <si>
    <t>3rd to Last Volume</t>
  </si>
  <si>
    <t>Depth [MD]</t>
  </si>
  <si>
    <r>
      <rPr>
        <u/>
        <sz val="11"/>
        <color theme="1"/>
        <rFont val="Calibri"/>
        <family val="2"/>
        <scheme val="minor"/>
      </rPr>
      <t xml:space="preserve">Heat Stress: </t>
    </r>
    <r>
      <rPr>
        <sz val="11"/>
        <color theme="1"/>
        <rFont val="Calibri"/>
        <family val="2"/>
        <scheme val="minor"/>
      </rPr>
      <t xml:space="preserve"> Sun, humidity, poor ventilation, extra PPE
</t>
    </r>
    <r>
      <rPr>
        <u/>
        <sz val="11"/>
        <color theme="1"/>
        <rFont val="Calibri"/>
        <family val="2"/>
        <scheme val="minor"/>
      </rPr>
      <t>Ground Conditions</t>
    </r>
    <r>
      <rPr>
        <sz val="11"/>
        <color theme="1"/>
        <rFont val="Calibri"/>
        <family val="2"/>
        <scheme val="minor"/>
      </rPr>
      <t xml:space="preserve">:  Uneven, unstable, slippery, etc.
</t>
    </r>
    <r>
      <rPr>
        <u/>
        <sz val="11"/>
        <color theme="1"/>
        <rFont val="Calibri"/>
        <family val="2"/>
        <scheme val="minor"/>
      </rPr>
      <t>Barricades</t>
    </r>
    <r>
      <rPr>
        <sz val="11"/>
        <color theme="1"/>
        <rFont val="Calibri"/>
        <family val="2"/>
        <scheme val="minor"/>
      </rPr>
      <t xml:space="preserve">:  Working with and around barricaded areas
</t>
    </r>
    <r>
      <rPr>
        <u/>
        <sz val="11"/>
        <color theme="1"/>
        <rFont val="Calibri"/>
        <family val="2"/>
        <scheme val="minor"/>
      </rPr>
      <t>Sensitive or Faulty Equip/Mat</t>
    </r>
    <r>
      <rPr>
        <sz val="11"/>
        <color theme="1"/>
        <rFont val="Calibri"/>
        <family val="2"/>
        <scheme val="minor"/>
      </rPr>
      <t xml:space="preserve">:  Loose connections, leaking hoses, etc.
</t>
    </r>
    <r>
      <rPr>
        <u/>
        <sz val="11"/>
        <color theme="1"/>
        <rFont val="Calibri"/>
        <family val="2"/>
        <scheme val="minor"/>
      </rPr>
      <t>Lines &amp; valves</t>
    </r>
    <r>
      <rPr>
        <sz val="11"/>
        <color theme="1"/>
        <rFont val="Calibri"/>
        <family val="2"/>
        <scheme val="minor"/>
      </rPr>
      <t xml:space="preserve">:  Check for pressure, leaks, and etc.
</t>
    </r>
    <r>
      <rPr>
        <u/>
        <sz val="11"/>
        <color theme="1"/>
        <rFont val="Calibri"/>
        <family val="2"/>
        <scheme val="minor"/>
      </rPr>
      <t>Overhead Loads</t>
    </r>
    <r>
      <rPr>
        <sz val="11"/>
        <color theme="1"/>
        <rFont val="Calibri"/>
        <family val="2"/>
        <scheme val="minor"/>
      </rPr>
      <t xml:space="preserve">:  Be mindful of overhead loads
</t>
    </r>
    <r>
      <rPr>
        <u/>
        <sz val="11"/>
        <color theme="1"/>
        <rFont val="Calibri"/>
        <family val="2"/>
        <scheme val="minor"/>
      </rPr>
      <t>Dangerous Gases</t>
    </r>
    <r>
      <rPr>
        <sz val="11"/>
        <color theme="1"/>
        <rFont val="Calibri"/>
        <family val="2"/>
        <scheme val="minor"/>
      </rPr>
      <t xml:space="preserve">:   H2S
</t>
    </r>
    <r>
      <rPr>
        <u/>
        <sz val="11"/>
        <color theme="1"/>
        <rFont val="Calibri"/>
        <family val="2"/>
        <scheme val="minor"/>
      </rPr>
      <t>Chemical Hazards
Electrical Hazards</t>
    </r>
  </si>
  <si>
    <r>
      <rPr>
        <u/>
        <sz val="11"/>
        <color theme="1"/>
        <rFont val="Calibri"/>
        <family val="2"/>
        <scheme val="minor"/>
      </rPr>
      <t>Trip/Obstacle</t>
    </r>
    <r>
      <rPr>
        <sz val="11"/>
        <color theme="1"/>
        <rFont val="Calibri"/>
        <family val="2"/>
        <scheme val="minor"/>
      </rPr>
      <t xml:space="preserve">:  Equip/material placement, cord/hose routing
</t>
    </r>
    <r>
      <rPr>
        <u/>
        <sz val="11"/>
        <color theme="1"/>
        <rFont val="Calibri"/>
        <family val="2"/>
        <scheme val="minor"/>
      </rPr>
      <t>Driving</t>
    </r>
    <r>
      <rPr>
        <sz val="11"/>
        <color theme="1"/>
        <rFont val="Calibri"/>
        <family val="2"/>
        <scheme val="minor"/>
      </rPr>
      <t xml:space="preserve">:  Speed limits, spotter, seatbelts, passengers, parking
</t>
    </r>
    <r>
      <rPr>
        <u/>
        <sz val="11"/>
        <color theme="1"/>
        <rFont val="Calibri"/>
        <family val="2"/>
        <scheme val="minor"/>
      </rPr>
      <t>Body Position</t>
    </r>
    <r>
      <rPr>
        <sz val="11"/>
        <color theme="1"/>
        <rFont val="Calibri"/>
        <family val="2"/>
        <scheme val="minor"/>
      </rPr>
      <t xml:space="preserve">:  Overextension, balance, lift, bend, line of fire
</t>
    </r>
    <r>
      <rPr>
        <u/>
        <sz val="11"/>
        <color theme="1"/>
        <rFont val="Calibri"/>
        <family val="2"/>
        <scheme val="minor"/>
      </rPr>
      <t>Fall Potential</t>
    </r>
    <r>
      <rPr>
        <sz val="11"/>
        <color theme="1"/>
        <rFont val="Calibri"/>
        <family val="2"/>
        <scheme val="minor"/>
      </rPr>
      <t xml:space="preserve">:  Working without harness
</t>
    </r>
    <r>
      <rPr>
        <u/>
        <sz val="11"/>
        <color theme="1"/>
        <rFont val="Calibri"/>
        <family val="2"/>
        <scheme val="minor"/>
      </rPr>
      <t>Blind Spots</t>
    </r>
    <r>
      <rPr>
        <sz val="11"/>
        <color theme="1"/>
        <rFont val="Calibri"/>
        <family val="2"/>
        <scheme val="minor"/>
      </rPr>
      <t xml:space="preserve">:  Lack of visual on body or tool point-of-contact
</t>
    </r>
    <r>
      <rPr>
        <u/>
        <sz val="11"/>
        <color theme="1"/>
        <rFont val="Calibri"/>
        <family val="2"/>
        <scheme val="minor"/>
      </rPr>
      <t>Fire/Burn</t>
    </r>
    <r>
      <rPr>
        <sz val="11"/>
        <color theme="1"/>
        <rFont val="Calibri"/>
        <family val="2"/>
        <scheme val="minor"/>
      </rPr>
      <t xml:space="preserve">:  Shield heat sources
</t>
    </r>
    <r>
      <rPr>
        <u/>
        <sz val="11"/>
        <color theme="1"/>
        <rFont val="Calibri"/>
        <family val="2"/>
        <scheme val="minor"/>
      </rPr>
      <t>Specs</t>
    </r>
    <r>
      <rPr>
        <sz val="11"/>
        <color theme="1"/>
        <rFont val="Calibri"/>
        <family val="2"/>
        <scheme val="minor"/>
      </rPr>
      <t xml:space="preserve">:  In place before and tagged prior to starting work
</t>
    </r>
    <r>
      <rPr>
        <u/>
        <sz val="11"/>
        <color theme="1"/>
        <rFont val="Calibri"/>
        <family val="2"/>
        <scheme val="minor"/>
      </rPr>
      <t>Exclusion zone</t>
    </r>
    <r>
      <rPr>
        <sz val="11"/>
        <color theme="1"/>
        <rFont val="Calibri"/>
        <family val="2"/>
        <scheme val="minor"/>
      </rPr>
      <t>:  Avoid until deemed safe</t>
    </r>
  </si>
  <si>
    <r>
      <rPr>
        <u/>
        <sz val="11"/>
        <color theme="1"/>
        <rFont val="Calibri"/>
        <family val="2"/>
        <scheme val="minor"/>
      </rPr>
      <t>Housekeeping</t>
    </r>
    <r>
      <rPr>
        <sz val="11"/>
        <color theme="1"/>
        <rFont val="Calibri"/>
        <family val="2"/>
        <scheme val="minor"/>
      </rPr>
      <t xml:space="preserve">:  Materials
</t>
    </r>
    <r>
      <rPr>
        <u/>
        <sz val="11"/>
        <color theme="1"/>
        <rFont val="Calibri"/>
        <family val="2"/>
        <scheme val="minor"/>
      </rPr>
      <t>Congested Area</t>
    </r>
    <r>
      <rPr>
        <sz val="11"/>
        <color theme="1"/>
        <rFont val="Calibri"/>
        <family val="2"/>
        <scheme val="minor"/>
      </rPr>
      <t xml:space="preserve">:  Greater incident rate
</t>
    </r>
    <r>
      <rPr>
        <u/>
        <sz val="11"/>
        <color theme="1"/>
        <rFont val="Calibri"/>
        <family val="2"/>
        <scheme val="minor"/>
      </rPr>
      <t>Cranes</t>
    </r>
    <r>
      <rPr>
        <sz val="11"/>
        <color theme="1"/>
        <rFont val="Calibri"/>
        <family val="2"/>
        <scheme val="minor"/>
      </rPr>
      <t xml:space="preserve">:  Overhead/Critical lifts
</t>
    </r>
    <r>
      <rPr>
        <u/>
        <sz val="11"/>
        <color theme="1"/>
        <rFont val="Calibri"/>
        <family val="2"/>
        <scheme val="minor"/>
      </rPr>
      <t>Caught-On</t>
    </r>
    <r>
      <rPr>
        <sz val="11"/>
        <color theme="1"/>
        <rFont val="Calibri"/>
        <family val="2"/>
        <scheme val="minor"/>
      </rPr>
      <t xml:space="preserve">:  PPE, clothing, etc.
</t>
    </r>
    <r>
      <rPr>
        <u/>
        <sz val="11"/>
        <color theme="1"/>
        <rFont val="Calibri"/>
        <family val="2"/>
        <scheme val="minor"/>
      </rPr>
      <t>Fire/Burn</t>
    </r>
    <r>
      <rPr>
        <sz val="11"/>
        <color theme="1"/>
        <rFont val="Calibri"/>
        <family val="2"/>
        <scheme val="minor"/>
      </rPr>
      <t xml:space="preserve">:  Flam/Com material
</t>
    </r>
    <r>
      <rPr>
        <u/>
        <sz val="11"/>
        <color theme="1"/>
        <rFont val="Calibri"/>
        <family val="2"/>
        <scheme val="minor"/>
      </rPr>
      <t>Access</t>
    </r>
    <r>
      <rPr>
        <sz val="11"/>
        <color theme="1"/>
        <rFont val="Calibri"/>
        <family val="2"/>
        <scheme val="minor"/>
      </rPr>
      <t xml:space="preserve">:  Tight entry/work area
</t>
    </r>
    <r>
      <rPr>
        <u/>
        <sz val="11"/>
        <color theme="1"/>
        <rFont val="Calibri"/>
        <family val="2"/>
        <scheme val="minor"/>
      </rPr>
      <t>Airborne</t>
    </r>
    <r>
      <rPr>
        <sz val="11"/>
        <color theme="1"/>
        <rFont val="Calibri"/>
        <family val="2"/>
        <scheme val="minor"/>
      </rPr>
      <t xml:space="preserve">:  Visual/respiratory
</t>
    </r>
    <r>
      <rPr>
        <u/>
        <sz val="11"/>
        <color theme="1"/>
        <rFont val="Calibri"/>
        <family val="2"/>
        <scheme val="minor"/>
      </rPr>
      <t>Cut/Puncture</t>
    </r>
    <r>
      <rPr>
        <sz val="11"/>
        <color theme="1"/>
        <rFont val="Calibri"/>
        <family val="2"/>
        <scheme val="minor"/>
      </rPr>
      <t xml:space="preserve">:  Sharp objects, pinch
</t>
    </r>
    <r>
      <rPr>
        <u/>
        <sz val="11"/>
        <color theme="1"/>
        <rFont val="Calibri"/>
        <family val="2"/>
        <scheme val="minor"/>
      </rPr>
      <t>Inadequate Lighting</t>
    </r>
    <r>
      <rPr>
        <sz val="11"/>
        <color theme="1"/>
        <rFont val="Calibri"/>
        <family val="2"/>
        <scheme val="minor"/>
      </rPr>
      <t xml:space="preserve">:  Dimly lit
</t>
    </r>
    <r>
      <rPr>
        <u/>
        <sz val="11"/>
        <color theme="1"/>
        <rFont val="Calibri"/>
        <family val="2"/>
        <scheme val="minor"/>
      </rPr>
      <t>Weather</t>
    </r>
    <r>
      <rPr>
        <sz val="11"/>
        <color theme="1"/>
        <rFont val="Calibri"/>
        <family val="2"/>
        <scheme val="minor"/>
      </rPr>
      <t xml:space="preserve">:  Wind, rain, lightning, heat, cold
</t>
    </r>
    <r>
      <rPr>
        <u/>
        <sz val="11"/>
        <color theme="1"/>
        <rFont val="Calibri"/>
        <family val="2"/>
        <scheme val="minor"/>
      </rPr>
      <t>Pressurized Iron and Wellhead</t>
    </r>
    <r>
      <rPr>
        <sz val="11"/>
        <color theme="1"/>
        <rFont val="Calibri"/>
        <family val="2"/>
        <scheme val="minor"/>
      </rPr>
      <t>:  Be mindful of pressures anywhere in the system, and over pressuring iron, closed valves</t>
    </r>
  </si>
  <si>
    <r>
      <rPr>
        <u/>
        <sz val="11"/>
        <color theme="1"/>
        <rFont val="Calibri"/>
        <family val="2"/>
        <scheme val="minor"/>
      </rPr>
      <t xml:space="preserve">Mobilizing:  </t>
    </r>
    <r>
      <rPr>
        <sz val="11"/>
        <color theme="1"/>
        <rFont val="Calibri"/>
        <family val="2"/>
        <scheme val="minor"/>
      </rPr>
      <t xml:space="preserve">Move/carry tools &amp; heavy equipment
</t>
    </r>
    <r>
      <rPr>
        <u/>
        <sz val="11"/>
        <color theme="1"/>
        <rFont val="Calibri"/>
        <family val="2"/>
        <scheme val="minor"/>
      </rPr>
      <t>Hand or Foot Placement</t>
    </r>
    <r>
      <rPr>
        <sz val="11"/>
        <color theme="1"/>
        <rFont val="Calibri"/>
        <family val="2"/>
        <scheme val="minor"/>
      </rPr>
      <t xml:space="preserve">:  Caught in or between object
</t>
    </r>
    <r>
      <rPr>
        <u/>
        <sz val="11"/>
        <color theme="1"/>
        <rFont val="Calibri"/>
        <family val="2"/>
        <scheme val="minor"/>
      </rPr>
      <t>Grounding</t>
    </r>
    <r>
      <rPr>
        <sz val="11"/>
        <color theme="1"/>
        <rFont val="Calibri"/>
        <family val="2"/>
        <scheme val="minor"/>
      </rPr>
      <t xml:space="preserve">: Trucks and  any other equipment that  may require it
</t>
    </r>
    <r>
      <rPr>
        <u/>
        <sz val="11"/>
        <color theme="1"/>
        <rFont val="Calibri"/>
        <family val="2"/>
        <scheme val="minor"/>
      </rPr>
      <t>Communication</t>
    </r>
    <r>
      <rPr>
        <sz val="11"/>
        <color theme="1"/>
        <rFont val="Calibri"/>
        <family val="2"/>
        <scheme val="minor"/>
      </rPr>
      <t xml:space="preserve">: Lack of or difficulty in communicating
</t>
    </r>
    <r>
      <rPr>
        <u/>
        <sz val="11"/>
        <color theme="1"/>
        <rFont val="Calibri"/>
        <family val="2"/>
        <scheme val="minor"/>
      </rPr>
      <t>Climbing</t>
    </r>
    <r>
      <rPr>
        <sz val="11"/>
        <color theme="1"/>
        <rFont val="Calibri"/>
        <family val="2"/>
        <scheme val="minor"/>
      </rPr>
      <t xml:space="preserve">: Over Hoses, ladders, etc.
</t>
    </r>
    <r>
      <rPr>
        <u/>
        <sz val="11"/>
        <color theme="1"/>
        <rFont val="Calibri"/>
        <family val="2"/>
        <scheme val="minor"/>
      </rPr>
      <t>Initial Opening of Equipment</t>
    </r>
    <r>
      <rPr>
        <sz val="11"/>
        <color theme="1"/>
        <rFont val="Calibri"/>
        <family val="2"/>
        <scheme val="minor"/>
      </rPr>
      <t xml:space="preserve">:   (un)known/(un)expected hazards.
</t>
    </r>
    <r>
      <rPr>
        <u/>
        <sz val="11"/>
        <color theme="1"/>
        <rFont val="Calibri"/>
        <family val="2"/>
        <scheme val="minor"/>
      </rPr>
      <t>Pinch Points</t>
    </r>
    <r>
      <rPr>
        <sz val="11"/>
        <color theme="1"/>
        <rFont val="Calibri"/>
        <family val="2"/>
        <scheme val="minor"/>
      </rPr>
      <t xml:space="preserve">: Watch hand, foot and body placement, always know your escape route
</t>
    </r>
    <r>
      <rPr>
        <u/>
        <sz val="11"/>
        <color theme="1"/>
        <rFont val="Calibri"/>
        <family val="2"/>
        <scheme val="minor"/>
      </rPr>
      <t>Site Traffic</t>
    </r>
    <r>
      <rPr>
        <sz val="11"/>
        <color theme="1"/>
        <rFont val="Calibri"/>
        <family val="2"/>
        <scheme val="minor"/>
      </rPr>
      <t>:  No flagman</t>
    </r>
  </si>
  <si>
    <r>
      <t xml:space="preserve">To ensure the safety of all employees </t>
    </r>
    <r>
      <rPr>
        <b/>
        <u/>
        <sz val="11"/>
        <color rgb="FFFF0000"/>
        <rFont val="Calibri"/>
        <family val="2"/>
        <scheme val="minor"/>
      </rPr>
      <t>STOP WORK AUTHORITY</t>
    </r>
    <r>
      <rPr>
        <sz val="11"/>
        <color theme="1"/>
        <rFont val="Calibri"/>
        <family val="2"/>
        <scheme val="minor"/>
      </rPr>
      <t xml:space="preserve"> can be initiated - Everyone on site, regardless of position, seniority or discipline has the authority to stop a job when concerns or questions regarding the control of a HSEQ risk or hazard exists. NO form of retribution, intimidation or negative repercussions shall be directed at any individual or company for exercising SWA</t>
    </r>
  </si>
  <si>
    <r>
      <rPr>
        <u/>
        <sz val="11"/>
        <color theme="1"/>
        <rFont val="Calibri"/>
        <family val="2"/>
        <scheme val="minor"/>
      </rPr>
      <t>Hazards during rig up operations</t>
    </r>
    <r>
      <rPr>
        <sz val="11"/>
        <color theme="1"/>
        <rFont val="Calibri"/>
        <family val="2"/>
        <scheme val="minor"/>
      </rPr>
      <t>:</t>
    </r>
    <r>
      <rPr>
        <u/>
        <sz val="11"/>
        <color theme="1"/>
        <rFont val="Calibri"/>
        <family val="2"/>
        <scheme val="minor"/>
      </rPr>
      <t xml:space="preserve">
</t>
    </r>
    <r>
      <rPr>
        <sz val="11"/>
        <color theme="1"/>
        <rFont val="Calibri"/>
        <family val="2"/>
        <scheme val="minor"/>
      </rPr>
      <t>Mobilizing, hand or foot placement, communication, climbing, Initial powering up of equipment, Check sensors, check proper valve alignment before opening or closing, ensure pressure is bled off before swinging hammer, trip/obstacles, overhead loads, driving, body position, fall potential, blind spots, specs, heat stress, ground conditions, trapped pressure, sensitive or faulty equipment, site traffic, housekeeping, congested site, access, pinch points, cut/puncture, inadequate lighting, &amp; weather (Wear proper PPE for all tasks at hand, be mindful of surroundings especially overhead loads near the wellhead, be mindful of potential pressure on iron, keep distance during hammer swings).</t>
    </r>
  </si>
  <si>
    <r>
      <rPr>
        <u/>
        <sz val="11"/>
        <color theme="1"/>
        <rFont val="Calibri"/>
        <family val="2"/>
        <scheme val="minor"/>
      </rPr>
      <t>Hazards during rig down operations</t>
    </r>
    <r>
      <rPr>
        <sz val="11"/>
        <color theme="1"/>
        <rFont val="Calibri"/>
        <family val="2"/>
        <scheme val="minor"/>
      </rPr>
      <t xml:space="preserve">:
Mobilizing, hand or foot placement, communication, climbing, Initial powering up of equipment, Check sensors, check proper valve alignment before opening or closing, ensure pressure is bled off before swinging hammer, trip/obstacles, overhead loads, driving, body position, fall potential, blind spots, specs, heat stress, ground conditions, trapped pressure, sensitive or faulty equipment, site traffic, housekeeping, congested site, access, pinch points, cut/puncture, inadequate lighting, &amp; weather (Wear proper PPE for all tasks at hand, be mindful of surroundings especially overhead loads near the wellhead, be mindful of potential pressure on iron, keep distance during hammer swings).
</t>
    </r>
  </si>
  <si>
    <r>
      <rPr>
        <u/>
        <sz val="11"/>
        <color theme="1"/>
        <rFont val="Calibri"/>
        <family val="2"/>
        <scheme val="minor"/>
      </rPr>
      <t>Proper PPE &amp; Equipment</t>
    </r>
    <r>
      <rPr>
        <sz val="11"/>
        <color theme="1"/>
        <rFont val="Calibri"/>
        <family val="2"/>
        <scheme val="minor"/>
      </rPr>
      <t xml:space="preserve">: </t>
    </r>
    <r>
      <rPr>
        <u/>
        <sz val="11"/>
        <color theme="1"/>
        <rFont val="Calibri"/>
        <family val="2"/>
        <scheme val="minor"/>
      </rPr>
      <t xml:space="preserve">
</t>
    </r>
    <r>
      <rPr>
        <sz val="11"/>
        <color theme="1"/>
        <rFont val="Calibri"/>
        <family val="2"/>
        <scheme val="minor"/>
      </rPr>
      <t xml:space="preserve">Always wear the proper PPE for the task at hand.  FRC, safety glasses, impact gloves, steel toe boots, hard hat, ear protection, H2S monitor, safety harness, eyewash station, fire extinguisher, etc.
</t>
    </r>
  </si>
  <si>
    <t>Post-frac Pulse Start</t>
  </si>
  <si>
    <t>Post-frac Pulse End</t>
  </si>
  <si>
    <t>Revision List</t>
  </si>
  <si>
    <t>BHP [psi]:</t>
  </si>
  <si>
    <t>Total Clean Fluid Volume [bbls]:</t>
  </si>
  <si>
    <t>Total Clean Volume</t>
  </si>
  <si>
    <t>Did an event occur?</t>
  </si>
  <si>
    <t>Screenout</t>
  </si>
  <si>
    <t>Other</t>
  </si>
  <si>
    <t>Perf Gun Description:</t>
  </si>
  <si>
    <t>Long Term Data Collection</t>
  </si>
  <si>
    <t>Event/Type</t>
  </si>
  <si>
    <t>Slurry Volume [bbls]:</t>
  </si>
  <si>
    <t>Top Perf</t>
  </si>
  <si>
    <t>Bottom Perf</t>
  </si>
  <si>
    <t>[MD]</t>
  </si>
  <si>
    <t>Shots per Foot</t>
  </si>
  <si>
    <t>Slurry Volume</t>
  </si>
  <si>
    <t>Fixed copy &amp; paste issue with the well summaries</t>
  </si>
  <si>
    <t>Well A</t>
  </si>
  <si>
    <t>Well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</si>
</sst>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F800]dddd\,\ mmmm\ dd\,\ yyyy"/>
    <numFmt numFmtId="165" formatCode="h:mm:ss;@"/>
    <numFmt numFmtId="166" formatCode="[$-F400]h:mm:ss\ AM/PM"/>
    <numFmt numFmtId="167" formatCode="mm/dd/yy"/>
    <numFmt numFmtId="168" formatCode="General_)"/>
    <numFmt numFmtId="169" formatCode="0.0"/>
    <numFmt numFmtId="170" formatCode="m/d/yy;@"/>
    <numFmt numFmtId="171" formatCode="h:mm;@"/>
    <numFmt numFmtId="172" formatCode="0.00\ &quot;in&quot;"/>
    <numFmt numFmtId="173" formatCode="0.00\ &quot;lb/gal&quot;"/>
    <numFmt numFmtId="174" formatCode="#,##0.0\ \'"/>
    <numFmt numFmtId="175" formatCode="#,##0.0"/>
  </numFmts>
  <fonts count="46" x14ac:knownFonts="1">
    <font>
      <sz val="11"/>
      <color theme="1"/>
      <name val="Calibri"/>
      <family val="2"/>
      <scheme val="minor"/>
    </font>
    <font>
      <b/>
      <sz val="11"/>
      <color theme="1"/>
      <name val="Calibri"/>
      <family val="2"/>
      <scheme val="minor"/>
    </font>
    <font>
      <sz val="16"/>
      <color theme="1"/>
      <name val="Arial Rounded MT Bold"/>
      <family val="2"/>
    </font>
    <font>
      <sz val="11"/>
      <name val="Arial Black"/>
      <family val="2"/>
    </font>
    <font>
      <sz val="11"/>
      <color theme="1"/>
      <name val="Calibri"/>
      <family val="2"/>
      <scheme val="minor"/>
    </font>
    <font>
      <sz val="11"/>
      <color theme="0"/>
      <name val="Calibri"/>
      <family val="2"/>
      <scheme val="minor"/>
    </font>
    <font>
      <u/>
      <sz val="11"/>
      <color theme="1"/>
      <name val="Calibri"/>
      <family val="2"/>
      <scheme val="minor"/>
    </font>
    <font>
      <b/>
      <sz val="16"/>
      <color theme="1"/>
      <name val="Calibri"/>
      <family val="2"/>
      <scheme val="minor"/>
    </font>
    <font>
      <sz val="10"/>
      <name val="Arial"/>
      <family val="2"/>
    </font>
    <font>
      <b/>
      <sz val="18"/>
      <name val="MS Sans Serif"/>
      <family val="2"/>
    </font>
    <font>
      <sz val="18"/>
      <name val="Copperplate Gothic Bold"/>
      <family val="2"/>
    </font>
    <font>
      <b/>
      <sz val="16"/>
      <name val="Microsoft Sans Serif"/>
      <family val="2"/>
    </font>
    <font>
      <sz val="12"/>
      <name val="Helv"/>
    </font>
    <font>
      <sz val="12"/>
      <color theme="1"/>
      <name val="Arial"/>
      <family val="2"/>
    </font>
    <font>
      <b/>
      <sz val="12"/>
      <name val="Arial"/>
      <family val="2"/>
    </font>
    <font>
      <b/>
      <sz val="12"/>
      <color theme="1"/>
      <name val="Arial"/>
      <family val="2"/>
    </font>
    <font>
      <b/>
      <sz val="12"/>
      <color rgb="FF000000"/>
      <name val="Arial"/>
      <family val="2"/>
    </font>
    <font>
      <b/>
      <sz val="12"/>
      <color rgb="FFFF0000"/>
      <name val="Arial"/>
      <family val="2"/>
    </font>
    <font>
      <sz val="12"/>
      <name val="Arial"/>
      <family val="2"/>
    </font>
    <font>
      <sz val="12"/>
      <color theme="0"/>
      <name val="Arial"/>
      <family val="2"/>
    </font>
    <font>
      <b/>
      <sz val="14"/>
      <color theme="1"/>
      <name val="Arial"/>
      <family val="2"/>
    </font>
    <font>
      <b/>
      <sz val="36"/>
      <name val="Arial"/>
      <family val="2"/>
    </font>
    <font>
      <b/>
      <sz val="36"/>
      <color theme="1"/>
      <name val="Arial"/>
      <family val="2"/>
    </font>
    <font>
      <b/>
      <sz val="12"/>
      <name val="Calibri"/>
      <family val="2"/>
    </font>
    <font>
      <sz val="9"/>
      <color indexed="81"/>
      <name val="Tahoma"/>
      <family val="2"/>
    </font>
    <font>
      <b/>
      <sz val="9"/>
      <color indexed="81"/>
      <name val="Tahoma"/>
      <family val="2"/>
    </font>
    <font>
      <b/>
      <vertAlign val="superscript"/>
      <sz val="12"/>
      <color theme="1"/>
      <name val="Arial"/>
      <family val="2"/>
    </font>
    <font>
      <sz val="11"/>
      <color theme="1"/>
      <name val="Arial"/>
      <family val="2"/>
    </font>
    <font>
      <sz val="36"/>
      <color theme="1"/>
      <name val="Arial"/>
      <family val="2"/>
    </font>
    <font>
      <b/>
      <sz val="12"/>
      <color theme="1"/>
      <name val="Calibri"/>
      <family val="2"/>
    </font>
    <font>
      <b/>
      <u/>
      <sz val="11"/>
      <color rgb="FFFF0000"/>
      <name val="Calibri"/>
      <family val="2"/>
      <scheme val="minor"/>
    </font>
    <font>
      <sz val="10"/>
      <name val="Arial"/>
      <family val="2"/>
    </font>
    <font>
      <b/>
      <sz val="18"/>
      <name val="MS Sans Serif"/>
      <family val="2"/>
    </font>
    <font>
      <sz val="18"/>
      <name val="Copperplate Gothic Bold"/>
      <family val="2"/>
    </font>
    <font>
      <b/>
      <sz val="36"/>
      <name val="Arial"/>
      <family val="2"/>
    </font>
    <font>
      <b/>
      <sz val="16"/>
      <name val="Microsoft Sans Serif"/>
      <family val="2"/>
    </font>
    <font>
      <sz val="12"/>
      <name val="Arial"/>
      <family val="2"/>
    </font>
    <font>
      <b/>
      <sz val="14"/>
      <name val="Arial"/>
      <family val="2"/>
    </font>
    <font>
      <sz val="12"/>
      <color theme="1"/>
      <name val="Arial"/>
      <family val="2"/>
    </font>
    <font>
      <b/>
      <sz val="12"/>
      <color theme="1"/>
      <name val="Arial"/>
      <family val="2"/>
    </font>
    <font>
      <sz val="12"/>
      <color theme="0"/>
      <name val="Arial"/>
      <family val="2"/>
    </font>
    <font>
      <b/>
      <sz val="12"/>
      <name val="Arial"/>
      <family val="2"/>
    </font>
    <font>
      <b/>
      <sz val="14"/>
      <color theme="1"/>
      <name val="Arial"/>
      <family val="2"/>
    </font>
    <font>
      <sz val="12"/>
      <color theme="0" tint="-0.249977111117893"/>
      <name val="Arial"/>
      <family val="2"/>
    </font>
    <font>
      <b/>
      <sz val="12"/>
      <color theme="9"/>
      <name val="Arial"/>
      <family val="2"/>
    </font>
    <font>
      <sz val="12"/>
      <color rgb="FFFF0000"/>
      <name val="Arial"/>
      <family val="2"/>
    </font>
  </fonts>
  <fills count="12">
    <fill>
      <patternFill patternType="none"/>
    </fill>
    <fill>
      <patternFill patternType="gray125"/>
    </fill>
    <fill>
      <patternFill patternType="solid">
        <fgColor theme="6"/>
      </patternFill>
    </fill>
    <fill>
      <patternFill patternType="solid">
        <fgColor theme="7" tint="0.59999389629810485"/>
        <bgColor indexed="65"/>
      </patternFill>
    </fill>
    <fill>
      <patternFill patternType="solid">
        <fgColor theme="0" tint="-0.14999847407452621"/>
        <bgColor indexed="64"/>
      </patternFill>
    </fill>
    <fill>
      <patternFill patternType="solid">
        <fgColor indexed="9"/>
        <bgColor indexed="64"/>
      </patternFill>
    </fill>
    <fill>
      <patternFill patternType="solid">
        <fgColor theme="0"/>
        <bgColor indexed="64"/>
      </patternFill>
    </fill>
    <fill>
      <patternFill patternType="solid">
        <fgColor theme="2" tint="-0.749992370372631"/>
        <bgColor indexed="64"/>
      </patternFill>
    </fill>
    <fill>
      <patternFill patternType="solid">
        <fgColor theme="1" tint="0.249977111117893"/>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FFCC"/>
        <bgColor indexed="64"/>
      </patternFill>
    </fill>
  </fills>
  <borders count="47">
    <border>
      <left/>
      <right/>
      <top/>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style="medium">
        <color indexed="64"/>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top style="medium">
        <color auto="1"/>
      </top>
      <bottom style="double">
        <color auto="1"/>
      </bottom>
      <diagonal/>
    </border>
    <border>
      <left/>
      <right style="medium">
        <color indexed="64"/>
      </right>
      <top/>
      <bottom style="thin">
        <color indexed="64"/>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double">
        <color indexed="64"/>
      </right>
      <top/>
      <bottom/>
      <diagonal/>
    </border>
  </borders>
  <cellStyleXfs count="6">
    <xf numFmtId="0" fontId="0" fillId="0" borderId="0"/>
    <xf numFmtId="0" fontId="5" fillId="2" borderId="0" applyNumberFormat="0" applyBorder="0" applyAlignment="0" applyProtection="0"/>
    <xf numFmtId="0" fontId="4" fillId="3" borderId="0" applyNumberFormat="0" applyBorder="0" applyAlignment="0" applyProtection="0"/>
    <xf numFmtId="0" fontId="8" fillId="0" borderId="0"/>
    <xf numFmtId="168" fontId="12" fillId="0" borderId="0"/>
    <xf numFmtId="43" fontId="4" fillId="0" borderId="0" applyFont="0" applyFill="0" applyBorder="0" applyAlignment="0" applyProtection="0"/>
  </cellStyleXfs>
  <cellXfs count="604">
    <xf numFmtId="0" fontId="0" fillId="0" borderId="0" xfId="0"/>
    <xf numFmtId="0" fontId="0" fillId="0" borderId="0" xfId="0" applyAlignment="1"/>
    <xf numFmtId="0" fontId="0" fillId="0" borderId="0" xfId="0" applyBorder="1"/>
    <xf numFmtId="0" fontId="8" fillId="0" borderId="0" xfId="3"/>
    <xf numFmtId="0" fontId="0" fillId="7" borderId="10" xfId="0" applyFill="1" applyBorder="1"/>
    <xf numFmtId="0" fontId="0" fillId="7" borderId="11" xfId="0" applyFill="1" applyBorder="1"/>
    <xf numFmtId="0" fontId="0" fillId="7" borderId="12" xfId="0" applyFill="1" applyBorder="1"/>
    <xf numFmtId="0" fontId="18" fillId="0" borderId="0" xfId="3" applyFont="1"/>
    <xf numFmtId="0" fontId="18" fillId="0" borderId="0" xfId="3" applyFont="1" applyAlignment="1">
      <alignment wrapText="1"/>
    </xf>
    <xf numFmtId="0" fontId="14" fillId="0" borderId="0" xfId="3" applyFont="1"/>
    <xf numFmtId="0" fontId="18" fillId="0" borderId="0" xfId="3" applyFont="1" applyAlignment="1"/>
    <xf numFmtId="0" fontId="18" fillId="0" borderId="0" xfId="3" applyFont="1" applyFill="1"/>
    <xf numFmtId="0" fontId="18" fillId="5" borderId="0" xfId="3" applyFont="1" applyFill="1"/>
    <xf numFmtId="168" fontId="18" fillId="0" borderId="0" xfId="4" applyFont="1" applyFill="1"/>
    <xf numFmtId="0" fontId="19" fillId="6" borderId="0" xfId="1" applyFont="1" applyFill="1"/>
    <xf numFmtId="0" fontId="18" fillId="8" borderId="26" xfId="1" applyFont="1" applyFill="1" applyBorder="1" applyAlignment="1">
      <alignment horizontal="center" vertical="center"/>
    </xf>
    <xf numFmtId="0" fontId="15" fillId="4" borderId="25" xfId="2" applyFont="1" applyFill="1" applyBorder="1" applyAlignment="1">
      <alignment horizontal="center" vertical="center" wrapText="1"/>
    </xf>
    <xf numFmtId="0" fontId="14" fillId="4" borderId="24" xfId="1" applyFont="1" applyFill="1" applyBorder="1" applyAlignment="1">
      <alignment horizontal="left"/>
    </xf>
    <xf numFmtId="0" fontId="14" fillId="4" borderId="25" xfId="2" applyFont="1" applyFill="1" applyBorder="1" applyAlignment="1">
      <alignment horizontal="center" vertical="center" wrapText="1"/>
    </xf>
    <xf numFmtId="0" fontId="14" fillId="4" borderId="25" xfId="1" applyFont="1" applyFill="1" applyBorder="1" applyAlignment="1">
      <alignment horizontal="center"/>
    </xf>
    <xf numFmtId="167" fontId="14" fillId="4" borderId="25" xfId="2" applyNumberFormat="1" applyFont="1" applyFill="1" applyBorder="1" applyAlignment="1">
      <alignment horizontal="center"/>
    </xf>
    <xf numFmtId="167" fontId="14" fillId="4" borderId="25" xfId="1" applyNumberFormat="1" applyFont="1" applyFill="1" applyBorder="1" applyAlignment="1">
      <alignment horizontal="center"/>
    </xf>
    <xf numFmtId="0" fontId="0" fillId="0" borderId="0" xfId="0" applyFill="1"/>
    <xf numFmtId="0" fontId="13" fillId="0" borderId="0" xfId="0" applyFont="1" applyFill="1"/>
    <xf numFmtId="0" fontId="8" fillId="6" borderId="30" xfId="3" applyFill="1" applyBorder="1" applyAlignment="1"/>
    <xf numFmtId="0" fontId="8" fillId="6" borderId="31" xfId="3" applyFill="1" applyBorder="1" applyAlignment="1"/>
    <xf numFmtId="0" fontId="9" fillId="6" borderId="31" xfId="3" applyFont="1" applyFill="1" applyBorder="1" applyAlignment="1">
      <alignment vertical="center"/>
    </xf>
    <xf numFmtId="0" fontId="10" fillId="6" borderId="31" xfId="3" applyFont="1" applyFill="1" applyBorder="1" applyAlignment="1">
      <alignment vertical="center"/>
    </xf>
    <xf numFmtId="0" fontId="8" fillId="6" borderId="31" xfId="3" applyFill="1" applyBorder="1"/>
    <xf numFmtId="0" fontId="8" fillId="6" borderId="32" xfId="3" applyFill="1" applyBorder="1"/>
    <xf numFmtId="0" fontId="8" fillId="6" borderId="33" xfId="3" applyFill="1" applyBorder="1" applyAlignment="1"/>
    <xf numFmtId="0" fontId="11" fillId="6" borderId="35" xfId="3" applyFont="1" applyFill="1" applyBorder="1" applyAlignment="1">
      <alignment vertical="center"/>
    </xf>
    <xf numFmtId="0" fontId="11" fillId="6" borderId="33" xfId="3" applyFont="1" applyFill="1" applyBorder="1" applyAlignment="1">
      <alignment vertical="center"/>
    </xf>
    <xf numFmtId="0" fontId="18" fillId="6" borderId="0" xfId="3" applyFont="1" applyFill="1" applyBorder="1" applyAlignment="1">
      <alignment vertical="center"/>
    </xf>
    <xf numFmtId="0" fontId="8" fillId="6" borderId="34" xfId="3" applyFill="1" applyBorder="1"/>
    <xf numFmtId="167" fontId="18" fillId="6" borderId="0" xfId="1" applyNumberFormat="1" applyFont="1" applyFill="1" applyBorder="1" applyAlignment="1"/>
    <xf numFmtId="0" fontId="0" fillId="6" borderId="30" xfId="0" applyFill="1" applyBorder="1"/>
    <xf numFmtId="0" fontId="0" fillId="6" borderId="31" xfId="0" applyFill="1" applyBorder="1"/>
    <xf numFmtId="0" fontId="0" fillId="6" borderId="32" xfId="0" applyFill="1" applyBorder="1"/>
    <xf numFmtId="0" fontId="0" fillId="6" borderId="33" xfId="0" applyFill="1" applyBorder="1"/>
    <xf numFmtId="0" fontId="2" fillId="6" borderId="0" xfId="0" applyFont="1" applyFill="1" applyBorder="1" applyAlignment="1"/>
    <xf numFmtId="0" fontId="0" fillId="6" borderId="0" xfId="0" applyFill="1" applyBorder="1"/>
    <xf numFmtId="0" fontId="0" fillId="6" borderId="34" xfId="0" applyFill="1" applyBorder="1"/>
    <xf numFmtId="0" fontId="2" fillId="6" borderId="33" xfId="0" applyFont="1" applyFill="1" applyBorder="1" applyAlignment="1"/>
    <xf numFmtId="49" fontId="0" fillId="6" borderId="33" xfId="0" applyNumberFormat="1" applyFill="1" applyBorder="1" applyAlignment="1">
      <alignment vertical="top" wrapText="1"/>
    </xf>
    <xf numFmtId="0" fontId="0" fillId="6" borderId="36" xfId="0" applyFill="1" applyBorder="1"/>
    <xf numFmtId="49" fontId="0" fillId="6" borderId="0" xfId="0" applyNumberFormat="1" applyFill="1" applyBorder="1" applyAlignment="1">
      <alignment vertical="top" wrapText="1"/>
    </xf>
    <xf numFmtId="0" fontId="0" fillId="6" borderId="37" xfId="0" applyFill="1" applyBorder="1"/>
    <xf numFmtId="0" fontId="0" fillId="6" borderId="0" xfId="0" applyFill="1" applyBorder="1" applyAlignment="1">
      <alignment vertical="center"/>
    </xf>
    <xf numFmtId="0" fontId="0" fillId="6" borderId="38" xfId="0" applyFill="1" applyBorder="1"/>
    <xf numFmtId="0" fontId="15" fillId="4" borderId="24" xfId="0" applyFont="1" applyFill="1" applyBorder="1" applyAlignment="1">
      <alignment horizontal="center" vertical="center"/>
    </xf>
    <xf numFmtId="0" fontId="17" fillId="4" borderId="24" xfId="0" applyFont="1" applyFill="1" applyBorder="1" applyAlignment="1">
      <alignment horizontal="center" vertical="center"/>
    </xf>
    <xf numFmtId="0" fontId="18" fillId="6" borderId="0" xfId="0" applyFont="1" applyFill="1" applyBorder="1" applyAlignment="1"/>
    <xf numFmtId="0" fontId="13" fillId="6" borderId="0" xfId="0" applyFont="1" applyFill="1"/>
    <xf numFmtId="0" fontId="13" fillId="6" borderId="0" xfId="0" applyFont="1" applyFill="1" applyBorder="1" applyAlignment="1"/>
    <xf numFmtId="0" fontId="3" fillId="6" borderId="30" xfId="0" applyFont="1" applyFill="1" applyBorder="1" applyAlignment="1"/>
    <xf numFmtId="0" fontId="3" fillId="6" borderId="31" xfId="0" applyFont="1" applyFill="1" applyBorder="1" applyAlignment="1"/>
    <xf numFmtId="0" fontId="0" fillId="6" borderId="35" xfId="0" applyFill="1" applyBorder="1" applyAlignment="1">
      <alignment horizontal="center"/>
    </xf>
    <xf numFmtId="0" fontId="0" fillId="6" borderId="33" xfId="0" applyFill="1" applyBorder="1" applyAlignment="1">
      <alignment horizontal="center"/>
    </xf>
    <xf numFmtId="0" fontId="13" fillId="6" borderId="33" xfId="0" applyFont="1" applyFill="1" applyBorder="1" applyAlignment="1">
      <alignment horizontal="center"/>
    </xf>
    <xf numFmtId="0" fontId="13" fillId="6" borderId="34" xfId="0" applyFont="1" applyFill="1" applyBorder="1"/>
    <xf numFmtId="0" fontId="13" fillId="6" borderId="31" xfId="0" applyFont="1" applyFill="1" applyBorder="1" applyAlignment="1"/>
    <xf numFmtId="0" fontId="14" fillId="4" borderId="18" xfId="3" applyFont="1" applyFill="1" applyBorder="1" applyAlignment="1">
      <alignment horizontal="center" vertical="center"/>
    </xf>
    <xf numFmtId="0" fontId="14" fillId="4" borderId="24" xfId="3" applyFont="1" applyFill="1" applyBorder="1" applyAlignment="1">
      <alignment horizontal="center" vertical="center"/>
    </xf>
    <xf numFmtId="0" fontId="11" fillId="6" borderId="36" xfId="3" applyFont="1" applyFill="1" applyBorder="1" applyAlignment="1">
      <alignment vertical="center"/>
    </xf>
    <xf numFmtId="0" fontId="18" fillId="6" borderId="37" xfId="3" applyFont="1" applyFill="1" applyBorder="1" applyAlignment="1">
      <alignment vertical="center"/>
    </xf>
    <xf numFmtId="0" fontId="8" fillId="6" borderId="38" xfId="3" applyFill="1" applyBorder="1"/>
    <xf numFmtId="0" fontId="27" fillId="0" borderId="0" xfId="0" applyFont="1"/>
    <xf numFmtId="164" fontId="27" fillId="0" borderId="0" xfId="0" applyNumberFormat="1" applyFont="1"/>
    <xf numFmtId="166" fontId="27" fillId="0" borderId="0" xfId="0" applyNumberFormat="1" applyFont="1"/>
    <xf numFmtId="165" fontId="27" fillId="0" borderId="0" xfId="0" applyNumberFormat="1" applyFont="1"/>
    <xf numFmtId="4" fontId="27" fillId="0" borderId="0" xfId="0" applyNumberFormat="1" applyFont="1"/>
    <xf numFmtId="0" fontId="27" fillId="6" borderId="0" xfId="0" applyFont="1" applyFill="1" applyBorder="1"/>
    <xf numFmtId="164" fontId="27" fillId="6" borderId="0" xfId="0" applyNumberFormat="1" applyFont="1" applyFill="1" applyBorder="1"/>
    <xf numFmtId="166" fontId="27" fillId="6" borderId="0" xfId="0" applyNumberFormat="1" applyFont="1" applyFill="1" applyBorder="1"/>
    <xf numFmtId="165" fontId="27" fillId="6" borderId="0" xfId="0" applyNumberFormat="1" applyFont="1" applyFill="1" applyBorder="1"/>
    <xf numFmtId="4" fontId="27" fillId="6" borderId="0" xfId="0" applyNumberFormat="1" applyFont="1" applyFill="1" applyBorder="1"/>
    <xf numFmtId="4" fontId="27" fillId="6" borderId="34" xfId="0" applyNumberFormat="1" applyFont="1" applyFill="1" applyBorder="1"/>
    <xf numFmtId="0" fontId="0" fillId="6" borderId="31" xfId="0" applyFill="1" applyBorder="1" applyAlignment="1"/>
    <xf numFmtId="0" fontId="0" fillId="6" borderId="32" xfId="0" applyFill="1" applyBorder="1" applyAlignment="1"/>
    <xf numFmtId="0" fontId="0" fillId="6" borderId="2" xfId="0" applyFill="1" applyBorder="1" applyAlignment="1"/>
    <xf numFmtId="0" fontId="0" fillId="6" borderId="34" xfId="0" applyFill="1" applyBorder="1" applyAlignment="1"/>
    <xf numFmtId="0" fontId="15" fillId="6" borderId="33" xfId="0" applyFont="1" applyFill="1" applyBorder="1" applyAlignment="1">
      <alignment horizontal="center"/>
    </xf>
    <xf numFmtId="0" fontId="15" fillId="0" borderId="0" xfId="0" applyFont="1"/>
    <xf numFmtId="164" fontId="13" fillId="6" borderId="0" xfId="0" applyNumberFormat="1" applyFont="1" applyFill="1"/>
    <xf numFmtId="166" fontId="13" fillId="6" borderId="0" xfId="0" applyNumberFormat="1" applyFont="1" applyFill="1"/>
    <xf numFmtId="165" fontId="13" fillId="6" borderId="0" xfId="0" applyNumberFormat="1" applyFont="1" applyFill="1"/>
    <xf numFmtId="4" fontId="13" fillId="6" borderId="0" xfId="0" applyNumberFormat="1" applyFont="1" applyFill="1"/>
    <xf numFmtId="0" fontId="13" fillId="0" borderId="0" xfId="0" applyFont="1"/>
    <xf numFmtId="0" fontId="13" fillId="0" borderId="0" xfId="0" applyFont="1" applyAlignment="1">
      <alignment horizontal="center" vertical="center"/>
    </xf>
    <xf numFmtId="0" fontId="15" fillId="0" borderId="0" xfId="0" applyFont="1" applyAlignment="1">
      <alignment horizontal="center" vertical="center"/>
    </xf>
    <xf numFmtId="4" fontId="27" fillId="6" borderId="31" xfId="0" applyNumberFormat="1" applyFont="1" applyFill="1" applyBorder="1"/>
    <xf numFmtId="4" fontId="27" fillId="6" borderId="32" xfId="0" applyNumberFormat="1" applyFont="1" applyFill="1" applyBorder="1"/>
    <xf numFmtId="0" fontId="27" fillId="6" borderId="34" xfId="0" applyFont="1" applyFill="1" applyBorder="1"/>
    <xf numFmtId="0" fontId="15" fillId="6" borderId="34" xfId="0" applyFont="1" applyFill="1" applyBorder="1"/>
    <xf numFmtId="0" fontId="13" fillId="6" borderId="36" xfId="0" applyFont="1" applyFill="1" applyBorder="1" applyAlignment="1">
      <alignment horizontal="center"/>
    </xf>
    <xf numFmtId="0" fontId="13" fillId="6" borderId="38" xfId="0" applyFont="1" applyFill="1" applyBorder="1"/>
    <xf numFmtId="0" fontId="15" fillId="6" borderId="39" xfId="0" applyFont="1" applyFill="1" applyBorder="1" applyAlignment="1">
      <alignment horizontal="center" vertical="center"/>
    </xf>
    <xf numFmtId="164" fontId="15" fillId="6" borderId="39" xfId="0" applyNumberFormat="1" applyFont="1" applyFill="1" applyBorder="1" applyAlignment="1">
      <alignment horizontal="center" vertical="center"/>
    </xf>
    <xf numFmtId="166" fontId="15" fillId="6" borderId="39" xfId="0" applyNumberFormat="1" applyFont="1" applyFill="1" applyBorder="1" applyAlignment="1">
      <alignment horizontal="center" vertical="center"/>
    </xf>
    <xf numFmtId="165" fontId="15" fillId="6" borderId="39" xfId="0" applyNumberFormat="1" applyFont="1" applyFill="1" applyBorder="1" applyAlignment="1">
      <alignment horizontal="center" vertical="center"/>
    </xf>
    <xf numFmtId="4" fontId="15" fillId="6" borderId="39" xfId="0" applyNumberFormat="1" applyFont="1" applyFill="1" applyBorder="1" applyAlignment="1">
      <alignment horizontal="center" vertical="center"/>
    </xf>
    <xf numFmtId="0" fontId="15" fillId="6" borderId="40" xfId="0" applyFont="1" applyFill="1" applyBorder="1" applyAlignment="1">
      <alignment horizontal="center" vertical="center"/>
    </xf>
    <xf numFmtId="164" fontId="15" fillId="6" borderId="40" xfId="0" applyNumberFormat="1" applyFont="1" applyFill="1" applyBorder="1" applyAlignment="1">
      <alignment horizontal="center" vertical="center"/>
    </xf>
    <xf numFmtId="166" fontId="15" fillId="6" borderId="40" xfId="0" applyNumberFormat="1" applyFont="1" applyFill="1" applyBorder="1" applyAlignment="1">
      <alignment horizontal="center" vertical="center"/>
    </xf>
    <xf numFmtId="165" fontId="15" fillId="6" borderId="40" xfId="0" applyNumberFormat="1" applyFont="1" applyFill="1" applyBorder="1" applyAlignment="1">
      <alignment horizontal="center" vertical="center"/>
    </xf>
    <xf numFmtId="4" fontId="15" fillId="6" borderId="40" xfId="0" applyNumberFormat="1" applyFont="1" applyFill="1" applyBorder="1" applyAlignment="1">
      <alignment horizontal="center" vertical="center"/>
    </xf>
    <xf numFmtId="0" fontId="13" fillId="6" borderId="41" xfId="0" applyFont="1" applyFill="1" applyBorder="1"/>
    <xf numFmtId="164" fontId="13" fillId="6" borderId="41" xfId="0" applyNumberFormat="1" applyFont="1" applyFill="1" applyBorder="1"/>
    <xf numFmtId="166" fontId="13" fillId="6" borderId="41" xfId="0" applyNumberFormat="1" applyFont="1" applyFill="1" applyBorder="1"/>
    <xf numFmtId="165" fontId="13" fillId="6" borderId="41" xfId="0" applyNumberFormat="1" applyFont="1" applyFill="1" applyBorder="1"/>
    <xf numFmtId="4" fontId="13" fillId="6" borderId="41" xfId="0" applyNumberFormat="1" applyFont="1" applyFill="1" applyBorder="1"/>
    <xf numFmtId="0" fontId="13" fillId="6" borderId="25" xfId="0" applyFont="1" applyFill="1" applyBorder="1" applyAlignment="1">
      <alignment horizontal="center" vertical="center"/>
    </xf>
    <xf numFmtId="4" fontId="13" fillId="6" borderId="25" xfId="0" applyNumberFormat="1" applyFont="1" applyFill="1" applyBorder="1" applyAlignment="1">
      <alignment horizontal="center" vertical="center"/>
    </xf>
    <xf numFmtId="0" fontId="13" fillId="6" borderId="26" xfId="0" applyFont="1" applyFill="1" applyBorder="1" applyAlignment="1">
      <alignment horizontal="center" vertical="center"/>
    </xf>
    <xf numFmtId="4" fontId="13" fillId="6" borderId="26" xfId="0" applyNumberFormat="1" applyFont="1" applyFill="1" applyBorder="1" applyAlignment="1">
      <alignment horizontal="center" vertical="center"/>
    </xf>
    <xf numFmtId="0" fontId="13" fillId="6" borderId="13" xfId="0" applyFont="1" applyFill="1" applyBorder="1" applyAlignment="1">
      <alignment horizontal="center" vertical="center"/>
    </xf>
    <xf numFmtId="0" fontId="13" fillId="6" borderId="27" xfId="0" applyFont="1" applyFill="1" applyBorder="1" applyAlignment="1">
      <alignment horizontal="center" vertical="center"/>
    </xf>
    <xf numFmtId="4" fontId="13" fillId="6" borderId="27" xfId="0" applyNumberFormat="1" applyFont="1" applyFill="1" applyBorder="1" applyAlignment="1">
      <alignment horizontal="center" vertical="center"/>
    </xf>
    <xf numFmtId="14" fontId="13" fillId="6" borderId="25" xfId="0" applyNumberFormat="1" applyFont="1" applyFill="1" applyBorder="1" applyAlignment="1">
      <alignment horizontal="center" vertical="center"/>
    </xf>
    <xf numFmtId="14" fontId="13" fillId="6" borderId="26" xfId="0" applyNumberFormat="1" applyFont="1" applyFill="1" applyBorder="1" applyAlignment="1">
      <alignment horizontal="center" vertical="center"/>
    </xf>
    <xf numFmtId="0" fontId="18" fillId="9" borderId="26" xfId="1" applyFont="1" applyFill="1" applyBorder="1" applyAlignment="1" applyProtection="1">
      <alignment horizontal="center" vertical="center"/>
      <protection locked="0"/>
    </xf>
    <xf numFmtId="170" fontId="14" fillId="0" borderId="25" xfId="3" applyNumberFormat="1" applyFont="1" applyFill="1" applyBorder="1" applyAlignment="1" applyProtection="1">
      <alignment horizontal="center" vertical="center"/>
      <protection locked="0"/>
    </xf>
    <xf numFmtId="171" fontId="14" fillId="0" borderId="25" xfId="3" applyNumberFormat="1" applyFont="1" applyFill="1" applyBorder="1" applyAlignment="1" applyProtection="1">
      <alignment horizontal="center" vertical="center"/>
      <protection locked="0"/>
    </xf>
    <xf numFmtId="170" fontId="14" fillId="0" borderId="26" xfId="3" applyNumberFormat="1" applyFont="1" applyFill="1" applyBorder="1" applyAlignment="1" applyProtection="1">
      <alignment horizontal="center" vertical="center"/>
      <protection locked="0"/>
    </xf>
    <xf numFmtId="171" fontId="14" fillId="0" borderId="26" xfId="3" applyNumberFormat="1" applyFont="1" applyFill="1" applyBorder="1" applyAlignment="1" applyProtection="1">
      <alignment horizontal="center" vertical="center"/>
      <protection locked="0"/>
    </xf>
    <xf numFmtId="170" fontId="14" fillId="0" borderId="27" xfId="3" applyNumberFormat="1" applyFont="1" applyFill="1" applyBorder="1" applyAlignment="1" applyProtection="1">
      <alignment horizontal="center" vertical="center"/>
      <protection locked="0"/>
    </xf>
    <xf numFmtId="171" fontId="14" fillId="0" borderId="27" xfId="3" applyNumberFormat="1" applyFont="1" applyFill="1" applyBorder="1" applyAlignment="1" applyProtection="1">
      <alignment horizontal="center" vertical="center"/>
      <protection locked="0"/>
    </xf>
    <xf numFmtId="0" fontId="15" fillId="4" borderId="25" xfId="2" applyFont="1" applyFill="1" applyBorder="1" applyAlignment="1" applyProtection="1">
      <alignment horizontal="center" vertical="center" wrapText="1"/>
      <protection locked="0"/>
    </xf>
    <xf numFmtId="0" fontId="15" fillId="4" borderId="24" xfId="2" applyFont="1" applyFill="1" applyBorder="1" applyAlignment="1" applyProtection="1">
      <alignment horizontal="center" vertical="center" wrapText="1"/>
      <protection locked="0"/>
    </xf>
    <xf numFmtId="0" fontId="13" fillId="6" borderId="37" xfId="0" applyFont="1" applyFill="1" applyBorder="1"/>
    <xf numFmtId="0" fontId="18" fillId="9" borderId="27" xfId="2" applyFont="1" applyFill="1" applyBorder="1" applyAlignment="1" applyProtection="1">
      <alignment horizontal="center" vertical="center"/>
      <protection locked="0"/>
    </xf>
    <xf numFmtId="2" fontId="18" fillId="9" borderId="26" xfId="2" applyNumberFormat="1" applyFont="1" applyFill="1" applyBorder="1" applyAlignment="1" applyProtection="1">
      <alignment horizontal="center" vertical="center"/>
      <protection locked="0"/>
    </xf>
    <xf numFmtId="0" fontId="18" fillId="9" borderId="26" xfId="2" applyNumberFormat="1" applyFont="1" applyFill="1" applyBorder="1" applyAlignment="1" applyProtection="1">
      <alignment horizontal="center" vertical="center"/>
      <protection locked="0"/>
    </xf>
    <xf numFmtId="2" fontId="18" fillId="9" borderId="27" xfId="2" applyNumberFormat="1" applyFont="1" applyFill="1" applyBorder="1" applyAlignment="1" applyProtection="1">
      <alignment horizontal="center" vertical="center"/>
      <protection locked="0"/>
    </xf>
    <xf numFmtId="0" fontId="18" fillId="9" borderId="27" xfId="1" applyFont="1" applyFill="1" applyBorder="1" applyAlignment="1" applyProtection="1">
      <alignment horizontal="center" vertical="center"/>
      <protection locked="0"/>
    </xf>
    <xf numFmtId="167" fontId="18" fillId="9" borderId="24" xfId="2" applyNumberFormat="1" applyFont="1" applyFill="1" applyBorder="1" applyAlignment="1" applyProtection="1">
      <alignment horizontal="center" vertical="center"/>
      <protection locked="0"/>
    </xf>
    <xf numFmtId="171" fontId="13" fillId="6" borderId="25" xfId="0" applyNumberFormat="1" applyFont="1" applyFill="1" applyBorder="1" applyAlignment="1">
      <alignment horizontal="center" vertical="center"/>
    </xf>
    <xf numFmtId="171" fontId="13" fillId="6" borderId="26" xfId="0" applyNumberFormat="1" applyFont="1" applyFill="1" applyBorder="1" applyAlignment="1">
      <alignment horizontal="center" vertical="center"/>
    </xf>
    <xf numFmtId="171" fontId="13" fillId="6" borderId="27" xfId="0" applyNumberFormat="1" applyFont="1" applyFill="1" applyBorder="1" applyAlignment="1">
      <alignment horizontal="center" vertical="center"/>
    </xf>
    <xf numFmtId="3" fontId="13" fillId="6" borderId="25" xfId="0" applyNumberFormat="1" applyFont="1" applyFill="1" applyBorder="1" applyAlignment="1">
      <alignment horizontal="center" vertical="center"/>
    </xf>
    <xf numFmtId="3" fontId="13" fillId="6" borderId="26" xfId="0" applyNumberFormat="1" applyFont="1" applyFill="1" applyBorder="1" applyAlignment="1">
      <alignment horizontal="center" vertical="center"/>
    </xf>
    <xf numFmtId="3" fontId="13" fillId="6" borderId="27" xfId="0" applyNumberFormat="1" applyFont="1" applyFill="1" applyBorder="1" applyAlignment="1">
      <alignment horizontal="center" vertical="center"/>
    </xf>
    <xf numFmtId="175" fontId="13" fillId="6" borderId="25" xfId="0" applyNumberFormat="1" applyFont="1" applyFill="1" applyBorder="1" applyAlignment="1">
      <alignment horizontal="center" vertical="center"/>
    </xf>
    <xf numFmtId="175" fontId="13" fillId="6" borderId="26" xfId="0" applyNumberFormat="1" applyFont="1" applyFill="1" applyBorder="1" applyAlignment="1">
      <alignment horizontal="center" vertical="center"/>
    </xf>
    <xf numFmtId="175" fontId="13" fillId="6" borderId="27" xfId="0" applyNumberFormat="1" applyFont="1" applyFill="1" applyBorder="1" applyAlignment="1">
      <alignment horizontal="center" vertical="center"/>
    </xf>
    <xf numFmtId="174" fontId="13" fillId="6" borderId="25" xfId="0" applyNumberFormat="1" applyFont="1" applyFill="1" applyBorder="1" applyAlignment="1">
      <alignment horizontal="center" vertical="center"/>
    </xf>
    <xf numFmtId="174" fontId="13" fillId="6" borderId="26" xfId="0" applyNumberFormat="1" applyFont="1" applyFill="1" applyBorder="1" applyAlignment="1">
      <alignment horizontal="center" vertical="center"/>
    </xf>
    <xf numFmtId="174" fontId="13" fillId="6" borderId="27" xfId="0" applyNumberFormat="1" applyFont="1" applyFill="1" applyBorder="1" applyAlignment="1">
      <alignment horizontal="center" vertical="center"/>
    </xf>
    <xf numFmtId="175" fontId="13" fillId="6" borderId="13" xfId="0" applyNumberFormat="1" applyFont="1" applyFill="1" applyBorder="1" applyAlignment="1">
      <alignment horizontal="center" vertical="center"/>
    </xf>
    <xf numFmtId="3" fontId="18" fillId="9" borderId="26" xfId="5" applyNumberFormat="1" applyFont="1" applyFill="1" applyBorder="1" applyAlignment="1" applyProtection="1">
      <alignment horizontal="center" vertical="center"/>
      <protection locked="0"/>
    </xf>
    <xf numFmtId="3" fontId="18" fillId="9" borderId="27" xfId="5" applyNumberFormat="1" applyFont="1" applyFill="1" applyBorder="1" applyAlignment="1" applyProtection="1">
      <alignment horizontal="center" vertical="center"/>
      <protection locked="0"/>
    </xf>
    <xf numFmtId="0" fontId="3" fillId="6" borderId="30" xfId="0" applyFont="1" applyFill="1" applyBorder="1" applyAlignment="1" applyProtection="1"/>
    <xf numFmtId="0" fontId="3" fillId="6" borderId="31" xfId="0" applyFont="1" applyFill="1" applyBorder="1" applyAlignment="1" applyProtection="1"/>
    <xf numFmtId="0" fontId="0" fillId="6" borderId="32" xfId="0" applyFill="1" applyBorder="1" applyProtection="1"/>
    <xf numFmtId="0" fontId="0" fillId="6" borderId="35" xfId="0" applyFill="1" applyBorder="1" applyAlignment="1" applyProtection="1">
      <alignment horizontal="center"/>
    </xf>
    <xf numFmtId="0" fontId="0" fillId="6" borderId="34" xfId="0" applyFill="1" applyBorder="1" applyProtection="1"/>
    <xf numFmtId="0" fontId="0" fillId="6" borderId="33" xfId="0" applyFill="1" applyBorder="1" applyAlignment="1" applyProtection="1">
      <alignment horizontal="center"/>
    </xf>
    <xf numFmtId="0" fontId="13" fillId="6" borderId="33" xfId="0" applyFont="1" applyFill="1" applyBorder="1" applyAlignment="1" applyProtection="1">
      <alignment horizontal="center"/>
    </xf>
    <xf numFmtId="0" fontId="18" fillId="6" borderId="0" xfId="0" applyFont="1" applyFill="1" applyBorder="1" applyAlignment="1" applyProtection="1"/>
    <xf numFmtId="0" fontId="13" fillId="6" borderId="34" xfId="0" applyFont="1" applyFill="1" applyBorder="1" applyProtection="1"/>
    <xf numFmtId="0" fontId="14" fillId="4" borderId="24" xfId="0" applyFont="1" applyFill="1" applyBorder="1" applyAlignment="1" applyProtection="1">
      <alignment vertical="center"/>
    </xf>
    <xf numFmtId="0" fontId="13" fillId="6" borderId="0" xfId="0" applyFont="1" applyFill="1" applyBorder="1" applyAlignment="1" applyProtection="1">
      <alignment horizontal="center"/>
    </xf>
    <xf numFmtId="0" fontId="13" fillId="6" borderId="33" xfId="0" applyFont="1" applyFill="1" applyBorder="1" applyAlignment="1" applyProtection="1">
      <alignment horizontal="right"/>
    </xf>
    <xf numFmtId="0" fontId="14" fillId="4" borderId="25" xfId="0" applyFont="1" applyFill="1" applyBorder="1" applyAlignment="1" applyProtection="1">
      <alignment horizontal="left" vertical="center"/>
    </xf>
    <xf numFmtId="0" fontId="14" fillId="6" borderId="0" xfId="0" applyFont="1" applyFill="1" applyBorder="1" applyAlignment="1" applyProtection="1">
      <alignment horizontal="right" vertical="center"/>
    </xf>
    <xf numFmtId="0" fontId="15" fillId="6" borderId="0" xfId="0" applyFont="1" applyFill="1" applyBorder="1" applyAlignment="1" applyProtection="1">
      <alignment horizontal="right" vertical="center"/>
    </xf>
    <xf numFmtId="0" fontId="18" fillId="6" borderId="0" xfId="0" applyFont="1" applyFill="1" applyBorder="1" applyAlignment="1" applyProtection="1">
      <alignment horizontal="center"/>
    </xf>
    <xf numFmtId="164" fontId="13" fillId="6" borderId="0" xfId="0" applyNumberFormat="1" applyFont="1" applyFill="1" applyBorder="1" applyAlignment="1" applyProtection="1"/>
    <xf numFmtId="0" fontId="13" fillId="6" borderId="0" xfId="0" applyFont="1" applyFill="1" applyBorder="1" applyProtection="1"/>
    <xf numFmtId="0" fontId="15" fillId="6" borderId="33" xfId="0" applyFont="1" applyFill="1" applyBorder="1" applyAlignment="1" applyProtection="1"/>
    <xf numFmtId="0" fontId="13" fillId="6" borderId="33" xfId="0" applyFont="1" applyFill="1" applyBorder="1" applyProtection="1"/>
    <xf numFmtId="0" fontId="0" fillId="6" borderId="33" xfId="0" applyFill="1" applyBorder="1" applyProtection="1"/>
    <xf numFmtId="0" fontId="18" fillId="6" borderId="0" xfId="0" applyFont="1" applyFill="1" applyBorder="1" applyAlignment="1" applyProtection="1">
      <alignment vertical="center"/>
    </xf>
    <xf numFmtId="0" fontId="13" fillId="6" borderId="0" xfId="0" applyFont="1" applyFill="1" applyBorder="1" applyAlignment="1" applyProtection="1"/>
    <xf numFmtId="3" fontId="14" fillId="4" borderId="25" xfId="0" applyNumberFormat="1" applyFont="1" applyFill="1" applyBorder="1" applyAlignment="1" applyProtection="1">
      <alignment horizontal="center" vertical="center"/>
    </xf>
    <xf numFmtId="0" fontId="14" fillId="6" borderId="0" xfId="0" applyFont="1" applyFill="1" applyBorder="1" applyAlignment="1" applyProtection="1"/>
    <xf numFmtId="3" fontId="14" fillId="4" borderId="26" xfId="0" applyNumberFormat="1" applyFont="1" applyFill="1" applyBorder="1" applyAlignment="1" applyProtection="1">
      <alignment horizontal="center" vertical="center"/>
    </xf>
    <xf numFmtId="0" fontId="14" fillId="6" borderId="0" xfId="0" applyFont="1" applyFill="1" applyBorder="1" applyAlignment="1" applyProtection="1">
      <alignment vertical="center"/>
    </xf>
    <xf numFmtId="3" fontId="14" fillId="4" borderId="27" xfId="0" applyNumberFormat="1" applyFont="1" applyFill="1" applyBorder="1" applyAlignment="1" applyProtection="1">
      <alignment horizontal="center" vertical="center"/>
    </xf>
    <xf numFmtId="0" fontId="13" fillId="6" borderId="33" xfId="0" applyFont="1" applyFill="1" applyBorder="1" applyAlignment="1" applyProtection="1"/>
    <xf numFmtId="0" fontId="14" fillId="4" borderId="24" xfId="0" applyFont="1" applyFill="1" applyBorder="1" applyAlignment="1" applyProtection="1">
      <alignment horizontal="center" vertical="center"/>
    </xf>
    <xf numFmtId="0" fontId="15" fillId="4" borderId="29" xfId="0" applyFont="1" applyFill="1" applyBorder="1" applyAlignment="1" applyProtection="1">
      <alignment horizontal="left" vertical="center"/>
    </xf>
    <xf numFmtId="0" fontId="14" fillId="10" borderId="25" xfId="0" applyFont="1" applyFill="1" applyBorder="1" applyAlignment="1" applyProtection="1">
      <alignment horizontal="left" vertical="center"/>
    </xf>
    <xf numFmtId="0" fontId="14" fillId="10" borderId="26" xfId="0" applyFont="1" applyFill="1" applyBorder="1" applyAlignment="1" applyProtection="1">
      <alignment horizontal="left" vertical="center"/>
    </xf>
    <xf numFmtId="0" fontId="14" fillId="10" borderId="28" xfId="0" applyFont="1" applyFill="1" applyBorder="1" applyAlignment="1" applyProtection="1">
      <alignment horizontal="left" vertical="center"/>
    </xf>
    <xf numFmtId="0" fontId="14" fillId="10" borderId="27" xfId="0" applyFont="1" applyFill="1" applyBorder="1" applyAlignment="1" applyProtection="1">
      <alignment horizontal="left" vertical="center"/>
    </xf>
    <xf numFmtId="0" fontId="15" fillId="10" borderId="29" xfId="0" applyFont="1" applyFill="1" applyBorder="1" applyAlignment="1" applyProtection="1">
      <alignment horizontal="left" vertical="center"/>
    </xf>
    <xf numFmtId="0" fontId="15" fillId="4" borderId="27" xfId="0" applyFont="1" applyFill="1" applyBorder="1" applyAlignment="1" applyProtection="1">
      <alignment horizontal="left"/>
    </xf>
    <xf numFmtId="0" fontId="15" fillId="4" borderId="25" xfId="0" applyFont="1" applyFill="1" applyBorder="1" applyAlignment="1" applyProtection="1">
      <alignment vertical="center"/>
    </xf>
    <xf numFmtId="0" fontId="15" fillId="4" borderId="26" xfId="0" applyFont="1" applyFill="1" applyBorder="1" applyAlignment="1" applyProtection="1">
      <alignment vertical="center"/>
    </xf>
    <xf numFmtId="0" fontId="15" fillId="4" borderId="27" xfId="0" applyFont="1" applyFill="1" applyBorder="1" applyAlignment="1" applyProtection="1">
      <alignment vertical="center"/>
    </xf>
    <xf numFmtId="0" fontId="13" fillId="6" borderId="34" xfId="0" applyFont="1" applyFill="1" applyBorder="1" applyAlignment="1" applyProtection="1"/>
    <xf numFmtId="0" fontId="13" fillId="6" borderId="36" xfId="0" applyFont="1" applyFill="1" applyBorder="1" applyAlignment="1" applyProtection="1"/>
    <xf numFmtId="0" fontId="13" fillId="6" borderId="37" xfId="0" applyFont="1" applyFill="1" applyBorder="1" applyAlignment="1" applyProtection="1"/>
    <xf numFmtId="0" fontId="13" fillId="6" borderId="38" xfId="0" applyFont="1" applyFill="1" applyBorder="1" applyAlignment="1" applyProtection="1"/>
    <xf numFmtId="0" fontId="15" fillId="10" borderId="27" xfId="0" applyFont="1" applyFill="1" applyBorder="1" applyAlignment="1" applyProtection="1">
      <alignment horizontal="left" vertical="center"/>
    </xf>
    <xf numFmtId="0" fontId="15" fillId="4" borderId="25" xfId="0" applyFont="1" applyFill="1" applyBorder="1" applyAlignment="1" applyProtection="1">
      <alignment horizontal="left" vertical="center"/>
    </xf>
    <xf numFmtId="0" fontId="15" fillId="4" borderId="26" xfId="0" applyFont="1" applyFill="1" applyBorder="1" applyAlignment="1" applyProtection="1">
      <alignment horizontal="left" vertical="center"/>
    </xf>
    <xf numFmtId="0" fontId="15" fillId="4" borderId="27" xfId="0" applyFont="1" applyFill="1" applyBorder="1" applyAlignment="1" applyProtection="1">
      <alignment horizontal="left" vertical="center"/>
    </xf>
    <xf numFmtId="0" fontId="14" fillId="4" borderId="26" xfId="0" applyFont="1" applyFill="1" applyBorder="1" applyAlignment="1" applyProtection="1">
      <alignment horizontal="left" vertical="center"/>
    </xf>
    <xf numFmtId="0" fontId="14" fillId="4" borderId="27" xfId="0" applyFont="1" applyFill="1" applyBorder="1" applyAlignment="1" applyProtection="1">
      <alignment horizontal="left" vertical="center"/>
    </xf>
    <xf numFmtId="0" fontId="15" fillId="10" borderId="26" xfId="0" applyFont="1" applyFill="1" applyBorder="1" applyAlignment="1" applyProtection="1">
      <alignment horizontal="left" vertical="center"/>
    </xf>
    <xf numFmtId="0" fontId="15" fillId="4" borderId="24" xfId="0" applyFont="1" applyFill="1" applyBorder="1" applyAlignment="1" applyProtection="1">
      <alignment horizontal="center" vertical="center"/>
    </xf>
    <xf numFmtId="0" fontId="0" fillId="6" borderId="34" xfId="0" applyFill="1" applyBorder="1" applyAlignment="1">
      <alignment vertical="top" wrapText="1"/>
    </xf>
    <xf numFmtId="0" fontId="0" fillId="6" borderId="46" xfId="0" applyFill="1" applyBorder="1" applyAlignment="1">
      <alignment vertical="top"/>
    </xf>
    <xf numFmtId="0" fontId="6" fillId="6" borderId="46" xfId="0" applyFont="1" applyFill="1" applyBorder="1" applyAlignment="1">
      <alignment vertical="top"/>
    </xf>
    <xf numFmtId="0" fontId="0" fillId="6" borderId="46" xfId="0" applyFill="1" applyBorder="1" applyAlignment="1">
      <alignment vertical="top" wrapText="1"/>
    </xf>
    <xf numFmtId="0" fontId="1" fillId="6" borderId="46" xfId="0" applyFont="1" applyFill="1" applyBorder="1" applyAlignment="1">
      <alignment vertical="center" wrapText="1"/>
    </xf>
    <xf numFmtId="0" fontId="0" fillId="6" borderId="46" xfId="0" applyFill="1" applyBorder="1"/>
    <xf numFmtId="0" fontId="0" fillId="6" borderId="35" xfId="0" applyFill="1" applyBorder="1"/>
    <xf numFmtId="0" fontId="0" fillId="6" borderId="34" xfId="0" applyFill="1" applyBorder="1" applyAlignment="1">
      <alignment vertical="center"/>
    </xf>
    <xf numFmtId="0" fontId="0" fillId="6" borderId="46" xfId="0" applyFill="1" applyBorder="1" applyAlignment="1">
      <alignment vertical="center"/>
    </xf>
    <xf numFmtId="0" fontId="0" fillId="6" borderId="34" xfId="0" applyFill="1" applyBorder="1" applyAlignment="1">
      <alignment vertical="center" wrapText="1"/>
    </xf>
    <xf numFmtId="0" fontId="0" fillId="6" borderId="46" xfId="0" applyFill="1" applyBorder="1" applyAlignment="1">
      <alignment vertical="center" wrapText="1"/>
    </xf>
    <xf numFmtId="0" fontId="0" fillId="0" borderId="46" xfId="0" applyBorder="1" applyAlignment="1"/>
    <xf numFmtId="0" fontId="7" fillId="6" borderId="46" xfId="0" applyFont="1" applyFill="1" applyBorder="1" applyAlignment="1">
      <alignment vertical="center"/>
    </xf>
    <xf numFmtId="0" fontId="0" fillId="6" borderId="46" xfId="0" applyFill="1" applyBorder="1" applyAlignment="1"/>
    <xf numFmtId="0" fontId="0" fillId="6" borderId="34" xfId="0" applyFill="1" applyBorder="1" applyAlignment="1">
      <alignment vertical="top"/>
    </xf>
    <xf numFmtId="0" fontId="0" fillId="6" borderId="38" xfId="0" applyFill="1" applyBorder="1" applyAlignment="1">
      <alignment vertical="top"/>
    </xf>
    <xf numFmtId="0" fontId="0" fillId="6" borderId="41" xfId="0" applyFill="1" applyBorder="1" applyAlignment="1">
      <alignment vertical="top"/>
    </xf>
    <xf numFmtId="166" fontId="29" fillId="6" borderId="39" xfId="0" applyNumberFormat="1" applyFont="1" applyFill="1" applyBorder="1" applyAlignment="1">
      <alignment horizontal="center" vertical="center"/>
    </xf>
    <xf numFmtId="167" fontId="18" fillId="11" borderId="24" xfId="2" applyNumberFormat="1" applyFont="1" applyFill="1" applyBorder="1" applyAlignment="1" applyProtection="1">
      <alignment horizontal="center" vertical="center"/>
      <protection locked="0"/>
    </xf>
    <xf numFmtId="0" fontId="13" fillId="11" borderId="25" xfId="0" applyFont="1" applyFill="1" applyBorder="1" applyAlignment="1" applyProtection="1">
      <alignment horizontal="center" vertical="center"/>
      <protection locked="0"/>
    </xf>
    <xf numFmtId="0" fontId="13" fillId="11" borderId="26" xfId="0" applyFont="1" applyFill="1" applyBorder="1" applyAlignment="1" applyProtection="1">
      <alignment horizontal="center" vertical="center"/>
      <protection locked="0"/>
    </xf>
    <xf numFmtId="0" fontId="13" fillId="11" borderId="27" xfId="0" applyFont="1" applyFill="1" applyBorder="1" applyAlignment="1" applyProtection="1">
      <alignment horizontal="center" vertical="center"/>
      <protection locked="0"/>
    </xf>
    <xf numFmtId="171" fontId="13" fillId="11" borderId="25" xfId="0" applyNumberFormat="1" applyFont="1" applyFill="1" applyBorder="1" applyAlignment="1" applyProtection="1">
      <alignment horizontal="center" vertical="center"/>
    </xf>
    <xf numFmtId="171" fontId="13" fillId="11" borderId="26" xfId="0" applyNumberFormat="1" applyFont="1" applyFill="1" applyBorder="1" applyAlignment="1" applyProtection="1">
      <alignment horizontal="center" vertical="center"/>
    </xf>
    <xf numFmtId="0" fontId="18" fillId="11" borderId="27" xfId="0" applyFont="1" applyFill="1" applyBorder="1" applyAlignment="1" applyProtection="1">
      <alignment horizontal="center" vertical="center"/>
    </xf>
    <xf numFmtId="0" fontId="18" fillId="11" borderId="25" xfId="0" applyFont="1" applyFill="1" applyBorder="1" applyAlignment="1" applyProtection="1">
      <alignment horizontal="center" vertical="center"/>
    </xf>
    <xf numFmtId="3" fontId="18" fillId="11" borderId="26" xfId="0" applyNumberFormat="1" applyFont="1" applyFill="1" applyBorder="1" applyAlignment="1" applyProtection="1">
      <alignment horizontal="center" vertical="center"/>
    </xf>
    <xf numFmtId="3" fontId="18" fillId="11" borderId="28" xfId="0" applyNumberFormat="1" applyFont="1" applyFill="1" applyBorder="1" applyAlignment="1" applyProtection="1">
      <alignment horizontal="center" vertical="center"/>
    </xf>
    <xf numFmtId="3" fontId="18" fillId="11" borderId="27" xfId="0" applyNumberFormat="1" applyFont="1" applyFill="1" applyBorder="1" applyAlignment="1" applyProtection="1">
      <alignment horizontal="center" vertical="center"/>
    </xf>
    <xf numFmtId="0" fontId="13" fillId="11" borderId="29" xfId="0" applyFont="1" applyFill="1" applyBorder="1" applyAlignment="1" applyProtection="1">
      <alignment horizontal="center" vertical="center"/>
    </xf>
    <xf numFmtId="0" fontId="13" fillId="11" borderId="26" xfId="0" applyFont="1" applyFill="1" applyBorder="1" applyAlignment="1" applyProtection="1">
      <alignment horizontal="center" vertical="center"/>
    </xf>
    <xf numFmtId="0" fontId="13" fillId="11" borderId="27" xfId="0" applyFont="1" applyFill="1" applyBorder="1" applyAlignment="1" applyProtection="1">
      <alignment horizontal="center" vertical="center"/>
    </xf>
    <xf numFmtId="0" fontId="13" fillId="11" borderId="25" xfId="0" applyFont="1" applyFill="1" applyBorder="1" applyAlignment="1" applyProtection="1">
      <alignment horizontal="center" vertical="center"/>
    </xf>
    <xf numFmtId="0" fontId="13" fillId="11" borderId="25" xfId="0" applyFont="1" applyFill="1" applyBorder="1" applyAlignment="1" applyProtection="1">
      <alignment horizontal="center"/>
    </xf>
    <xf numFmtId="173" fontId="18" fillId="11" borderId="25" xfId="0" applyNumberFormat="1" applyFont="1" applyFill="1" applyBorder="1" applyAlignment="1" applyProtection="1">
      <alignment horizontal="center"/>
    </xf>
    <xf numFmtId="0" fontId="13" fillId="11" borderId="26" xfId="0" applyFont="1" applyFill="1" applyBorder="1" applyAlignment="1" applyProtection="1">
      <alignment horizontal="center"/>
    </xf>
    <xf numFmtId="173" fontId="18" fillId="11" borderId="26" xfId="0" applyNumberFormat="1" applyFont="1" applyFill="1" applyBorder="1" applyAlignment="1" applyProtection="1">
      <alignment horizontal="center"/>
    </xf>
    <xf numFmtId="0" fontId="13" fillId="11" borderId="27" xfId="0" applyFont="1" applyFill="1" applyBorder="1" applyAlignment="1" applyProtection="1">
      <alignment horizontal="center"/>
    </xf>
    <xf numFmtId="173" fontId="18" fillId="11" borderId="27" xfId="0" applyNumberFormat="1" applyFont="1" applyFill="1" applyBorder="1" applyAlignment="1" applyProtection="1">
      <alignment horizontal="center"/>
    </xf>
    <xf numFmtId="3" fontId="13" fillId="11" borderId="25" xfId="5" applyNumberFormat="1" applyFont="1" applyFill="1" applyBorder="1" applyAlignment="1" applyProtection="1">
      <alignment horizontal="center" vertical="center"/>
    </xf>
    <xf numFmtId="3" fontId="13" fillId="11" borderId="26" xfId="5" applyNumberFormat="1" applyFont="1" applyFill="1" applyBorder="1" applyAlignment="1" applyProtection="1">
      <alignment horizontal="center" vertical="center"/>
    </xf>
    <xf numFmtId="0" fontId="18" fillId="11" borderId="26" xfId="0" applyFont="1" applyFill="1" applyBorder="1" applyAlignment="1" applyProtection="1">
      <alignment horizontal="center" vertical="center"/>
    </xf>
    <xf numFmtId="172" fontId="18" fillId="11" borderId="25" xfId="0" applyNumberFormat="1" applyFont="1" applyFill="1" applyBorder="1" applyAlignment="1" applyProtection="1">
      <alignment horizontal="center" vertical="center"/>
    </xf>
    <xf numFmtId="14" fontId="18" fillId="11" borderId="24" xfId="0" applyNumberFormat="1" applyFont="1" applyFill="1" applyBorder="1" applyAlignment="1" applyProtection="1">
      <alignment horizontal="center" vertical="center"/>
    </xf>
    <xf numFmtId="0" fontId="18" fillId="6" borderId="34" xfId="0" applyFont="1" applyFill="1" applyBorder="1" applyAlignment="1" applyProtection="1"/>
    <xf numFmtId="0" fontId="0" fillId="0" borderId="0" xfId="0" applyBorder="1" applyProtection="1"/>
    <xf numFmtId="0" fontId="31" fillId="6" borderId="30" xfId="3" applyFont="1" applyFill="1" applyBorder="1" applyAlignment="1"/>
    <xf numFmtId="0" fontId="31" fillId="6" borderId="31" xfId="3" applyFont="1" applyFill="1" applyBorder="1" applyAlignment="1"/>
    <xf numFmtId="0" fontId="32" fillId="6" borderId="31" xfId="3" applyFont="1" applyFill="1" applyBorder="1" applyAlignment="1">
      <alignment vertical="center"/>
    </xf>
    <xf numFmtId="0" fontId="33" fillId="6" borderId="31" xfId="3" applyFont="1" applyFill="1" applyBorder="1" applyAlignment="1">
      <alignment vertical="center"/>
    </xf>
    <xf numFmtId="0" fontId="31" fillId="6" borderId="31" xfId="3" applyFont="1" applyFill="1" applyBorder="1"/>
    <xf numFmtId="0" fontId="31" fillId="6" borderId="32" xfId="3" applyFont="1" applyFill="1" applyBorder="1"/>
    <xf numFmtId="0" fontId="31" fillId="0" borderId="0" xfId="3" applyFont="1"/>
    <xf numFmtId="0" fontId="31" fillId="6" borderId="33" xfId="3" applyFont="1" applyFill="1" applyBorder="1" applyAlignment="1"/>
    <xf numFmtId="0" fontId="31" fillId="6" borderId="34" xfId="3" applyFont="1" applyFill="1" applyBorder="1"/>
    <xf numFmtId="0" fontId="35" fillId="6" borderId="35" xfId="3" applyFont="1" applyFill="1" applyBorder="1" applyAlignment="1">
      <alignment vertical="center"/>
    </xf>
    <xf numFmtId="0" fontId="35" fillId="6" borderId="33" xfId="3" applyFont="1" applyFill="1" applyBorder="1" applyAlignment="1">
      <alignment vertical="center"/>
    </xf>
    <xf numFmtId="0" fontId="36" fillId="6" borderId="0" xfId="3" applyFont="1" applyFill="1" applyBorder="1" applyAlignment="1">
      <alignment vertical="center"/>
    </xf>
    <xf numFmtId="0" fontId="36" fillId="0" borderId="0" xfId="3" applyFont="1"/>
    <xf numFmtId="0" fontId="36" fillId="6" borderId="33" xfId="3" applyFont="1" applyFill="1" applyBorder="1" applyAlignment="1">
      <alignment vertical="center"/>
    </xf>
    <xf numFmtId="0" fontId="36" fillId="6" borderId="34" xfId="3" applyFont="1" applyFill="1" applyBorder="1"/>
    <xf numFmtId="0" fontId="38" fillId="6" borderId="33" xfId="2" applyFont="1" applyFill="1" applyBorder="1" applyAlignment="1">
      <alignment vertical="center"/>
    </xf>
    <xf numFmtId="0" fontId="39" fillId="6" borderId="0" xfId="2" applyFont="1" applyFill="1" applyBorder="1" applyAlignment="1">
      <alignment vertical="center"/>
    </xf>
    <xf numFmtId="0" fontId="39" fillId="4" borderId="25" xfId="0" applyFont="1" applyFill="1" applyBorder="1" applyAlignment="1">
      <alignment horizontal="left" vertical="center"/>
    </xf>
    <xf numFmtId="0" fontId="38" fillId="6" borderId="0" xfId="2" applyFont="1" applyFill="1" applyBorder="1" applyAlignment="1">
      <alignment vertical="center"/>
    </xf>
    <xf numFmtId="0" fontId="36" fillId="6" borderId="0" xfId="3" applyFont="1" applyFill="1" applyBorder="1"/>
    <xf numFmtId="0" fontId="39" fillId="4" borderId="26" xfId="0" applyFont="1" applyFill="1" applyBorder="1" applyAlignment="1">
      <alignment horizontal="left" vertical="center"/>
    </xf>
    <xf numFmtId="0" fontId="40" fillId="6" borderId="33" xfId="1" applyFont="1" applyFill="1" applyBorder="1" applyAlignment="1">
      <alignment vertical="center"/>
    </xf>
    <xf numFmtId="0" fontId="41" fillId="6" borderId="0" xfId="1" applyFont="1" applyFill="1" applyBorder="1" applyAlignment="1"/>
    <xf numFmtId="0" fontId="38" fillId="6" borderId="33" xfId="2" applyFont="1" applyFill="1" applyBorder="1" applyAlignment="1">
      <alignment vertical="center" wrapText="1"/>
    </xf>
    <xf numFmtId="0" fontId="39" fillId="6" borderId="0" xfId="2" applyFont="1" applyFill="1" applyBorder="1" applyAlignment="1">
      <alignment vertical="center" wrapText="1"/>
    </xf>
    <xf numFmtId="0" fontId="38" fillId="6" borderId="0" xfId="2" applyFont="1" applyFill="1" applyBorder="1" applyAlignment="1"/>
    <xf numFmtId="0" fontId="38" fillId="6" borderId="0" xfId="2" applyFont="1" applyFill="1" applyBorder="1" applyAlignment="1">
      <alignment vertical="center" wrapText="1"/>
    </xf>
    <xf numFmtId="0" fontId="36" fillId="0" borderId="0" xfId="3" applyFont="1" applyAlignment="1">
      <alignment wrapText="1"/>
    </xf>
    <xf numFmtId="0" fontId="39" fillId="4" borderId="24" xfId="0" applyFont="1" applyFill="1" applyBorder="1" applyAlignment="1">
      <alignment horizontal="left" vertical="center"/>
    </xf>
    <xf numFmtId="0" fontId="39" fillId="4" borderId="27" xfId="0" applyFont="1" applyFill="1" applyBorder="1" applyAlignment="1">
      <alignment horizontal="left" vertical="center"/>
    </xf>
    <xf numFmtId="0" fontId="36" fillId="6" borderId="0" xfId="3" applyFont="1" applyFill="1" applyBorder="1" applyAlignment="1">
      <alignment wrapText="1"/>
    </xf>
    <xf numFmtId="0" fontId="36" fillId="6" borderId="34" xfId="3" applyFont="1" applyFill="1" applyBorder="1" applyAlignment="1">
      <alignment wrapText="1"/>
    </xf>
    <xf numFmtId="0" fontId="39" fillId="6" borderId="0" xfId="0" applyFont="1" applyFill="1" applyBorder="1" applyAlignment="1">
      <alignment horizontal="left" vertical="center"/>
    </xf>
    <xf numFmtId="0" fontId="38" fillId="6" borderId="0" xfId="0" applyFont="1" applyFill="1" applyBorder="1" applyAlignment="1">
      <alignment horizontal="center" vertical="center"/>
    </xf>
    <xf numFmtId="14" fontId="38" fillId="6" borderId="0" xfId="0" applyNumberFormat="1" applyFont="1" applyFill="1" applyBorder="1" applyAlignment="1">
      <alignment horizontal="center" vertical="center"/>
    </xf>
    <xf numFmtId="0" fontId="42" fillId="6" borderId="0" xfId="2" applyFont="1" applyFill="1" applyBorder="1" applyAlignment="1">
      <alignment horizontal="center" vertical="center" wrapText="1"/>
    </xf>
    <xf numFmtId="0" fontId="36" fillId="6" borderId="33" xfId="2" applyFont="1" applyFill="1" applyBorder="1" applyAlignment="1">
      <alignment vertical="center" wrapText="1"/>
    </xf>
    <xf numFmtId="0" fontId="41" fillId="4" borderId="24" xfId="1" applyFont="1" applyFill="1" applyBorder="1" applyAlignment="1">
      <alignment horizontal="left"/>
    </xf>
    <xf numFmtId="167" fontId="36" fillId="11" borderId="24" xfId="2" applyNumberFormat="1" applyFont="1" applyFill="1" applyBorder="1" applyAlignment="1" applyProtection="1">
      <alignment horizontal="center" vertical="center"/>
      <protection locked="0"/>
    </xf>
    <xf numFmtId="167" fontId="36" fillId="6" borderId="0" xfId="1" applyNumberFormat="1" applyFont="1" applyFill="1" applyBorder="1" applyAlignment="1"/>
    <xf numFmtId="0" fontId="38" fillId="6" borderId="33" xfId="2" applyFont="1" applyFill="1" applyBorder="1" applyAlignment="1">
      <alignment horizontal="left" vertical="top"/>
    </xf>
    <xf numFmtId="0" fontId="39" fillId="4" borderId="25" xfId="2" applyFont="1" applyFill="1" applyBorder="1" applyAlignment="1">
      <alignment horizontal="center" vertical="center" wrapText="1"/>
    </xf>
    <xf numFmtId="0" fontId="41" fillId="4" borderId="25" xfId="2" applyFont="1" applyFill="1" applyBorder="1" applyAlignment="1">
      <alignment horizontal="center" vertical="center" wrapText="1"/>
    </xf>
    <xf numFmtId="0" fontId="41" fillId="4" borderId="25" xfId="1" applyFont="1" applyFill="1" applyBorder="1" applyAlignment="1">
      <alignment horizontal="center"/>
    </xf>
    <xf numFmtId="167" fontId="41" fillId="4" borderId="25" xfId="2" applyNumberFormat="1" applyFont="1" applyFill="1" applyBorder="1" applyAlignment="1">
      <alignment horizontal="center"/>
    </xf>
    <xf numFmtId="167" fontId="41" fillId="4" borderId="25" xfId="1" applyNumberFormat="1" applyFont="1" applyFill="1" applyBorder="1" applyAlignment="1">
      <alignment horizontal="center"/>
    </xf>
    <xf numFmtId="0" fontId="40" fillId="6" borderId="33" xfId="1" applyFont="1" applyFill="1" applyBorder="1" applyAlignment="1">
      <alignment horizontal="center" vertical="center"/>
    </xf>
    <xf numFmtId="0" fontId="39" fillId="4" borderId="25" xfId="2" applyFont="1" applyFill="1" applyBorder="1" applyAlignment="1" applyProtection="1">
      <alignment horizontal="center" vertical="center" wrapText="1"/>
      <protection locked="0"/>
    </xf>
    <xf numFmtId="2" fontId="36" fillId="11" borderId="26" xfId="2" applyNumberFormat="1" applyFont="1" applyFill="1" applyBorder="1" applyAlignment="1" applyProtection="1">
      <alignment horizontal="center" vertical="center"/>
      <protection locked="0"/>
    </xf>
    <xf numFmtId="0" fontId="36" fillId="11" borderId="26" xfId="1" applyFont="1" applyFill="1" applyBorder="1" applyAlignment="1" applyProtection="1">
      <alignment horizontal="center" vertical="center"/>
      <protection locked="0"/>
    </xf>
    <xf numFmtId="0" fontId="36" fillId="11" borderId="26" xfId="2" applyNumberFormat="1" applyFont="1" applyFill="1" applyBorder="1" applyAlignment="1" applyProtection="1">
      <alignment horizontal="center" vertical="center"/>
      <protection locked="0"/>
    </xf>
    <xf numFmtId="3" fontId="36" fillId="11" borderId="26" xfId="5" applyNumberFormat="1" applyFont="1" applyFill="1" applyBorder="1" applyAlignment="1" applyProtection="1">
      <alignment horizontal="center" vertical="center"/>
      <protection locked="0"/>
    </xf>
    <xf numFmtId="0" fontId="36" fillId="8" borderId="26" xfId="1" applyFont="1" applyFill="1" applyBorder="1" applyAlignment="1">
      <alignment horizontal="center" vertical="center"/>
    </xf>
    <xf numFmtId="169" fontId="43" fillId="6" borderId="0" xfId="1" applyNumberFormat="1" applyFont="1" applyFill="1" applyBorder="1" applyAlignment="1">
      <alignment horizontal="left" vertical="center"/>
    </xf>
    <xf numFmtId="169" fontId="44" fillId="11" borderId="25" xfId="2" applyNumberFormat="1" applyFont="1" applyFill="1" applyBorder="1" applyAlignment="1" applyProtection="1">
      <alignment horizontal="center" vertical="center"/>
      <protection locked="0"/>
    </xf>
    <xf numFmtId="0" fontId="38" fillId="6" borderId="33" xfId="2" applyFont="1" applyFill="1" applyBorder="1" applyAlignment="1">
      <alignment horizontal="left" vertical="top" wrapText="1"/>
    </xf>
    <xf numFmtId="169" fontId="45" fillId="4" borderId="26" xfId="1" applyNumberFormat="1" applyFont="1" applyFill="1" applyBorder="1" applyAlignment="1" applyProtection="1">
      <alignment horizontal="center" vertical="center"/>
    </xf>
    <xf numFmtId="0" fontId="36" fillId="4" borderId="13" xfId="1" applyFont="1" applyFill="1" applyBorder="1" applyAlignment="1">
      <alignment vertical="center"/>
    </xf>
    <xf numFmtId="0" fontId="36" fillId="6" borderId="3" xfId="3" applyFont="1" applyFill="1" applyBorder="1"/>
    <xf numFmtId="0" fontId="39" fillId="4" borderId="24" xfId="2" applyFont="1" applyFill="1" applyBorder="1" applyAlignment="1" applyProtection="1">
      <alignment horizontal="center" vertical="center" wrapText="1"/>
      <protection locked="0"/>
    </xf>
    <xf numFmtId="2" fontId="36" fillId="11" borderId="27" xfId="2" applyNumberFormat="1" applyFont="1" applyFill="1" applyBorder="1" applyAlignment="1" applyProtection="1">
      <alignment horizontal="center" vertical="center"/>
      <protection locked="0"/>
    </xf>
    <xf numFmtId="0" fontId="36" fillId="11" borderId="27" xfId="1" applyFont="1" applyFill="1" applyBorder="1" applyAlignment="1" applyProtection="1">
      <alignment horizontal="center" vertical="center"/>
      <protection locked="0"/>
    </xf>
    <xf numFmtId="0" fontId="36" fillId="11" borderId="27" xfId="2" applyFont="1" applyFill="1" applyBorder="1" applyAlignment="1" applyProtection="1">
      <alignment horizontal="center" vertical="center"/>
      <protection locked="0"/>
    </xf>
    <xf numFmtId="3" fontId="36" fillId="11" borderId="27" xfId="5" applyNumberFormat="1" applyFont="1" applyFill="1" applyBorder="1" applyAlignment="1" applyProtection="1">
      <alignment horizontal="center" vertical="center"/>
      <protection locked="0"/>
    </xf>
    <xf numFmtId="3" fontId="45" fillId="4" borderId="27" xfId="5" applyNumberFormat="1" applyFont="1" applyFill="1" applyBorder="1" applyAlignment="1" applyProtection="1">
      <alignment horizontal="center" vertical="center"/>
    </xf>
    <xf numFmtId="0" fontId="38" fillId="4" borderId="7" xfId="2" applyFont="1" applyFill="1" applyBorder="1" applyAlignment="1">
      <alignment vertical="center"/>
    </xf>
    <xf numFmtId="0" fontId="38" fillId="6" borderId="0" xfId="2" applyFont="1" applyFill="1" applyBorder="1" applyAlignment="1">
      <alignment horizontal="left" vertical="top" wrapText="1"/>
    </xf>
    <xf numFmtId="0" fontId="40" fillId="6" borderId="0" xfId="1" applyFont="1" applyFill="1" applyBorder="1"/>
    <xf numFmtId="1" fontId="38" fillId="6" borderId="0" xfId="2" applyNumberFormat="1" applyFont="1" applyFill="1" applyBorder="1" applyAlignment="1">
      <alignment horizontal="center"/>
    </xf>
    <xf numFmtId="1" fontId="38" fillId="6" borderId="0" xfId="2" applyNumberFormat="1" applyFont="1" applyFill="1" applyBorder="1" applyAlignment="1"/>
    <xf numFmtId="0" fontId="36" fillId="11" borderId="26" xfId="2" applyFont="1" applyFill="1" applyBorder="1" applyAlignment="1" applyProtection="1">
      <alignment horizontal="center" vertical="center"/>
      <protection locked="0"/>
    </xf>
    <xf numFmtId="0" fontId="36" fillId="4" borderId="13" xfId="1" applyFont="1" applyFill="1" applyBorder="1" applyAlignment="1">
      <alignment horizontal="left" vertical="center"/>
    </xf>
    <xf numFmtId="0" fontId="36" fillId="6" borderId="3" xfId="3" applyFont="1" applyFill="1" applyBorder="1" applyAlignment="1">
      <alignment horizontal="left"/>
    </xf>
    <xf numFmtId="0" fontId="36" fillId="11" borderId="27" xfId="2" applyFont="1" applyFill="1" applyBorder="1" applyAlignment="1" applyProtection="1">
      <alignment horizontal="center" vertical="center" wrapText="1"/>
      <protection locked="0"/>
    </xf>
    <xf numFmtId="0" fontId="38" fillId="4" borderId="7" xfId="2" applyFont="1" applyFill="1" applyBorder="1" applyAlignment="1">
      <alignment horizontal="left" vertical="center"/>
    </xf>
    <xf numFmtId="0" fontId="36" fillId="6" borderId="0" xfId="3" applyFont="1" applyFill="1" applyBorder="1" applyAlignment="1">
      <alignment horizontal="left"/>
    </xf>
    <xf numFmtId="0" fontId="38" fillId="6" borderId="0" xfId="2" applyFont="1" applyFill="1" applyBorder="1" applyAlignment="1">
      <alignment horizontal="left"/>
    </xf>
    <xf numFmtId="0" fontId="40" fillId="6" borderId="0" xfId="1" applyFont="1" applyFill="1"/>
    <xf numFmtId="0" fontId="41" fillId="0" borderId="0" xfId="3" applyFont="1"/>
    <xf numFmtId="0" fontId="36" fillId="0" borderId="0" xfId="3" applyFont="1" applyAlignment="1"/>
    <xf numFmtId="168" fontId="36" fillId="0" borderId="0" xfId="4" applyFont="1" applyFill="1"/>
    <xf numFmtId="1" fontId="38" fillId="6" borderId="0" xfId="2" applyNumberFormat="1" applyFont="1" applyFill="1" applyBorder="1" applyAlignment="1">
      <alignment horizontal="left"/>
    </xf>
    <xf numFmtId="0" fontId="36" fillId="0" borderId="0" xfId="3" applyFont="1" applyFill="1"/>
    <xf numFmtId="0" fontId="40" fillId="6" borderId="33" xfId="1" applyFont="1" applyFill="1" applyBorder="1" applyAlignment="1">
      <alignment vertical="top"/>
    </xf>
    <xf numFmtId="0" fontId="40" fillId="6" borderId="33" xfId="1" applyFont="1" applyFill="1" applyBorder="1" applyAlignment="1">
      <alignment horizontal="left" vertical="top"/>
    </xf>
    <xf numFmtId="0" fontId="40" fillId="6" borderId="33" xfId="1" applyFont="1" applyFill="1" applyBorder="1" applyAlignment="1"/>
    <xf numFmtId="0" fontId="40" fillId="6" borderId="33" xfId="1" applyFont="1" applyFill="1" applyBorder="1"/>
    <xf numFmtId="0" fontId="40" fillId="6" borderId="0" xfId="1" applyFont="1" applyFill="1" applyBorder="1" applyAlignment="1"/>
    <xf numFmtId="0" fontId="36" fillId="5" borderId="0" xfId="3" applyFont="1" applyFill="1"/>
    <xf numFmtId="0" fontId="40" fillId="6" borderId="33" xfId="1" applyFont="1" applyFill="1" applyBorder="1" applyAlignment="1">
      <alignment horizontal="center"/>
    </xf>
    <xf numFmtId="0" fontId="40" fillId="6" borderId="0" xfId="1" applyFont="1" applyFill="1" applyBorder="1" applyAlignment="1">
      <alignment horizontal="center"/>
    </xf>
    <xf numFmtId="0" fontId="40" fillId="6" borderId="36" xfId="1" applyFont="1" applyFill="1" applyBorder="1" applyAlignment="1">
      <alignment horizontal="center" vertical="center"/>
    </xf>
    <xf numFmtId="0" fontId="38" fillId="6" borderId="37" xfId="2" applyFont="1" applyFill="1" applyBorder="1" applyAlignment="1"/>
    <xf numFmtId="0" fontId="40" fillId="6" borderId="37" xfId="1" applyFont="1" applyFill="1" applyBorder="1" applyAlignment="1">
      <alignment horizontal="center"/>
    </xf>
    <xf numFmtId="0" fontId="38" fillId="6" borderId="37" xfId="2" applyFont="1" applyFill="1" applyBorder="1" applyAlignment="1">
      <alignment horizontal="left"/>
    </xf>
    <xf numFmtId="0" fontId="36" fillId="6" borderId="37" xfId="3" applyFont="1" applyFill="1" applyBorder="1"/>
    <xf numFmtId="0" fontId="36" fillId="6" borderId="38" xfId="3" applyFont="1" applyFill="1" applyBorder="1"/>
    <xf numFmtId="0" fontId="40" fillId="0" borderId="0" xfId="1" applyFont="1" applyFill="1" applyBorder="1" applyAlignment="1">
      <alignment horizontal="center" vertical="center"/>
    </xf>
    <xf numFmtId="0" fontId="38" fillId="0" borderId="0" xfId="2" applyFont="1" applyFill="1" applyBorder="1" applyAlignment="1"/>
    <xf numFmtId="0" fontId="38" fillId="0" borderId="0" xfId="2" applyFont="1" applyFill="1" applyBorder="1" applyAlignment="1">
      <alignment horizontal="center" vertical="center"/>
    </xf>
    <xf numFmtId="0" fontId="40" fillId="0" borderId="0" xfId="1" applyFont="1" applyFill="1" applyBorder="1" applyAlignment="1"/>
    <xf numFmtId="14" fontId="38" fillId="0" borderId="0" xfId="2" applyNumberFormat="1" applyFont="1" applyFill="1" applyBorder="1" applyAlignment="1">
      <alignment horizontal="left"/>
    </xf>
    <xf numFmtId="0" fontId="38" fillId="0" borderId="0" xfId="2" applyFont="1" applyFill="1" applyBorder="1" applyAlignment="1">
      <alignment horizontal="left"/>
    </xf>
    <xf numFmtId="0" fontId="40" fillId="0" borderId="0" xfId="1" applyFont="1" applyFill="1" applyBorder="1" applyAlignment="1">
      <alignment horizontal="center"/>
    </xf>
    <xf numFmtId="0" fontId="40" fillId="0" borderId="0" xfId="1" applyFont="1" applyFill="1" applyBorder="1"/>
    <xf numFmtId="0" fontId="31" fillId="0" borderId="0" xfId="3" applyFont="1" applyFill="1"/>
    <xf numFmtId="0" fontId="0" fillId="6" borderId="0" xfId="0" applyFill="1" applyBorder="1" applyProtection="1"/>
    <xf numFmtId="0" fontId="13" fillId="11" borderId="25" xfId="0" applyFont="1" applyFill="1" applyBorder="1" applyAlignment="1" applyProtection="1">
      <alignment horizontal="center" vertical="center"/>
    </xf>
    <xf numFmtId="0" fontId="15" fillId="10" borderId="26" xfId="0" applyFont="1" applyFill="1" applyBorder="1" applyAlignment="1" applyProtection="1">
      <alignment horizontal="left" vertical="center"/>
    </xf>
    <xf numFmtId="0" fontId="15" fillId="4" borderId="24" xfId="0" applyFont="1" applyFill="1" applyBorder="1" applyAlignment="1" applyProtection="1">
      <alignment horizontal="center" vertical="center"/>
    </xf>
    <xf numFmtId="0" fontId="15" fillId="4" borderId="26" xfId="0" applyFont="1" applyFill="1" applyBorder="1" applyAlignment="1" applyProtection="1">
      <alignment horizontal="left" vertical="center"/>
    </xf>
    <xf numFmtId="0" fontId="14" fillId="4" borderId="26" xfId="0" applyFont="1" applyFill="1" applyBorder="1" applyAlignment="1" applyProtection="1">
      <alignment horizontal="left" vertical="center"/>
    </xf>
    <xf numFmtId="0" fontId="14" fillId="4" borderId="27" xfId="0" applyFont="1" applyFill="1" applyBorder="1" applyAlignment="1" applyProtection="1">
      <alignment horizontal="left" vertical="center"/>
    </xf>
    <xf numFmtId="0" fontId="15" fillId="4" borderId="25" xfId="0" applyFont="1" applyFill="1" applyBorder="1" applyAlignment="1" applyProtection="1">
      <alignment horizontal="left" vertical="center"/>
    </xf>
    <xf numFmtId="0" fontId="15" fillId="4" borderId="27" xfId="0" applyFont="1" applyFill="1" applyBorder="1" applyAlignment="1" applyProtection="1">
      <alignment horizontal="left" vertical="center"/>
    </xf>
    <xf numFmtId="0" fontId="13" fillId="11" borderId="26" xfId="0" applyFont="1" applyFill="1" applyBorder="1" applyAlignment="1" applyProtection="1">
      <alignment horizontal="center" vertical="center"/>
    </xf>
    <xf numFmtId="0" fontId="13" fillId="11" borderId="27" xfId="0" applyFont="1" applyFill="1" applyBorder="1" applyAlignment="1" applyProtection="1">
      <alignment horizontal="center" vertical="center"/>
    </xf>
    <xf numFmtId="0" fontId="18" fillId="11" borderId="25" xfId="0" applyFont="1" applyFill="1" applyBorder="1" applyAlignment="1" applyProtection="1">
      <alignment horizontal="center" vertical="center"/>
    </xf>
    <xf numFmtId="0" fontId="18" fillId="11" borderId="26" xfId="0" applyFont="1" applyFill="1" applyBorder="1" applyAlignment="1" applyProtection="1">
      <alignment horizontal="center" vertical="center"/>
    </xf>
    <xf numFmtId="0" fontId="18" fillId="11" borderId="27" xfId="0" applyFont="1" applyFill="1" applyBorder="1" applyAlignment="1" applyProtection="1">
      <alignment horizontal="center" vertical="center"/>
    </xf>
    <xf numFmtId="0" fontId="15" fillId="10" borderId="27" xfId="0" applyFont="1" applyFill="1" applyBorder="1" applyAlignment="1" applyProtection="1">
      <alignment horizontal="left" vertical="center"/>
    </xf>
    <xf numFmtId="171" fontId="13" fillId="11" borderId="26" xfId="0" applyNumberFormat="1" applyFont="1" applyFill="1" applyBorder="1" applyAlignment="1" applyProtection="1">
      <alignment horizontal="center" vertical="center"/>
    </xf>
    <xf numFmtId="171" fontId="13" fillId="11" borderId="25" xfId="0" applyNumberFormat="1" applyFont="1" applyFill="1" applyBorder="1" applyAlignment="1" applyProtection="1">
      <alignment horizontal="center" vertical="center"/>
    </xf>
    <xf numFmtId="167" fontId="39" fillId="4" borderId="16" xfId="2" applyNumberFormat="1" applyFont="1" applyFill="1" applyBorder="1" applyAlignment="1">
      <alignment horizontal="center"/>
    </xf>
    <xf numFmtId="167" fontId="39" fillId="4" borderId="17" xfId="2" applyNumberFormat="1" applyFont="1" applyFill="1" applyBorder="1" applyAlignment="1">
      <alignment horizontal="center"/>
    </xf>
    <xf numFmtId="167" fontId="39" fillId="4" borderId="18" xfId="2" applyNumberFormat="1" applyFont="1" applyFill="1" applyBorder="1" applyAlignment="1">
      <alignment horizontal="center"/>
    </xf>
    <xf numFmtId="167" fontId="38" fillId="4" borderId="0" xfId="2" applyNumberFormat="1" applyFont="1" applyFill="1" applyBorder="1" applyAlignment="1">
      <alignment horizontal="left" vertical="center"/>
    </xf>
    <xf numFmtId="167" fontId="38" fillId="4" borderId="9" xfId="2" applyNumberFormat="1" applyFont="1" applyFill="1" applyBorder="1" applyAlignment="1">
      <alignment horizontal="left" vertical="center"/>
    </xf>
    <xf numFmtId="167" fontId="38" fillId="6" borderId="0" xfId="2" applyNumberFormat="1" applyFont="1" applyFill="1" applyBorder="1" applyAlignment="1">
      <alignment horizontal="center"/>
    </xf>
    <xf numFmtId="0" fontId="38" fillId="11" borderId="26" xfId="2" applyFont="1" applyFill="1" applyBorder="1" applyAlignment="1" applyProtection="1">
      <alignment horizontal="center"/>
      <protection locked="0"/>
    </xf>
    <xf numFmtId="0" fontId="38" fillId="11" borderId="27" xfId="2" applyFont="1" applyFill="1" applyBorder="1" applyAlignment="1" applyProtection="1">
      <alignment horizontal="center"/>
      <protection locked="0"/>
    </xf>
    <xf numFmtId="0" fontId="38" fillId="11" borderId="21" xfId="0" applyFont="1" applyFill="1" applyBorder="1" applyAlignment="1" applyProtection="1">
      <alignment horizontal="center" vertical="center"/>
      <protection locked="0"/>
    </xf>
    <xf numFmtId="0" fontId="38" fillId="11" borderId="1" xfId="0" applyFont="1" applyFill="1" applyBorder="1" applyAlignment="1" applyProtection="1">
      <alignment horizontal="center" vertical="center"/>
      <protection locked="0"/>
    </xf>
    <xf numFmtId="0" fontId="38" fillId="11" borderId="13" xfId="0" applyFont="1" applyFill="1" applyBorder="1" applyAlignment="1" applyProtection="1">
      <alignment horizontal="center" vertical="center"/>
      <protection locked="0"/>
    </xf>
    <xf numFmtId="14" fontId="38" fillId="11" borderId="21" xfId="0" applyNumberFormat="1" applyFont="1" applyFill="1" applyBorder="1" applyAlignment="1" applyProtection="1">
      <alignment horizontal="center" vertical="center"/>
      <protection locked="0"/>
    </xf>
    <xf numFmtId="14" fontId="38" fillId="11" borderId="1" xfId="0" applyNumberFormat="1" applyFont="1" applyFill="1" applyBorder="1" applyAlignment="1" applyProtection="1">
      <alignment horizontal="center" vertical="center"/>
      <protection locked="0"/>
    </xf>
    <xf numFmtId="14" fontId="38" fillId="11" borderId="13" xfId="0" applyNumberFormat="1" applyFont="1" applyFill="1" applyBorder="1" applyAlignment="1" applyProtection="1">
      <alignment horizontal="center" vertical="center"/>
      <protection locked="0"/>
    </xf>
    <xf numFmtId="14" fontId="38" fillId="11" borderId="14" xfId="0" applyNumberFormat="1" applyFont="1" applyFill="1" applyBorder="1" applyAlignment="1" applyProtection="1">
      <alignment horizontal="center" vertical="center"/>
      <protection locked="0"/>
    </xf>
    <xf numFmtId="14" fontId="38" fillId="11" borderId="15" xfId="0" applyNumberFormat="1" applyFont="1" applyFill="1" applyBorder="1" applyAlignment="1" applyProtection="1">
      <alignment horizontal="center" vertical="center"/>
      <protection locked="0"/>
    </xf>
    <xf numFmtId="14" fontId="38" fillId="11" borderId="22" xfId="0" applyNumberFormat="1" applyFont="1" applyFill="1" applyBorder="1" applyAlignment="1" applyProtection="1">
      <alignment horizontal="center" vertical="center"/>
      <protection locked="0"/>
    </xf>
    <xf numFmtId="0" fontId="38" fillId="11" borderId="14" xfId="0" applyFont="1" applyFill="1" applyBorder="1" applyAlignment="1" applyProtection="1">
      <alignment horizontal="center" vertical="center"/>
      <protection locked="0"/>
    </xf>
    <xf numFmtId="0" fontId="38" fillId="11" borderId="15" xfId="0" applyFont="1" applyFill="1" applyBorder="1" applyAlignment="1" applyProtection="1">
      <alignment horizontal="center" vertical="center"/>
      <protection locked="0"/>
    </xf>
    <xf numFmtId="0" fontId="38" fillId="11" borderId="22" xfId="0" applyFont="1" applyFill="1" applyBorder="1" applyAlignment="1" applyProtection="1">
      <alignment horizontal="center" vertical="center"/>
      <protection locked="0"/>
    </xf>
    <xf numFmtId="0" fontId="39" fillId="4" borderId="21" xfId="2" applyFont="1" applyFill="1" applyBorder="1" applyAlignment="1">
      <alignment horizontal="center" vertical="center"/>
    </xf>
    <xf numFmtId="0" fontId="39" fillId="4" borderId="13" xfId="2" applyFont="1" applyFill="1" applyBorder="1" applyAlignment="1">
      <alignment horizontal="center" vertical="center"/>
    </xf>
    <xf numFmtId="0" fontId="39" fillId="4" borderId="14" xfId="2" applyFont="1" applyFill="1" applyBorder="1" applyAlignment="1">
      <alignment horizontal="center" vertical="center"/>
    </xf>
    <xf numFmtId="0" fontId="39" fillId="4" borderId="22" xfId="2" applyFont="1" applyFill="1" applyBorder="1" applyAlignment="1">
      <alignment horizontal="center" vertical="center"/>
    </xf>
    <xf numFmtId="0" fontId="42" fillId="4" borderId="16" xfId="2" applyFont="1" applyFill="1" applyBorder="1" applyAlignment="1">
      <alignment horizontal="center" vertical="center" wrapText="1"/>
    </xf>
    <xf numFmtId="0" fontId="42" fillId="4" borderId="17" xfId="2" applyFont="1" applyFill="1" applyBorder="1" applyAlignment="1">
      <alignment horizontal="center" vertical="center" wrapText="1"/>
    </xf>
    <xf numFmtId="0" fontId="42" fillId="4" borderId="18" xfId="2" applyFont="1" applyFill="1" applyBorder="1" applyAlignment="1">
      <alignment horizontal="center" vertical="center" wrapText="1"/>
    </xf>
    <xf numFmtId="0" fontId="37" fillId="4" borderId="16" xfId="1" applyFont="1" applyFill="1" applyBorder="1" applyAlignment="1">
      <alignment horizontal="center"/>
    </xf>
    <xf numFmtId="0" fontId="37" fillId="4" borderId="17" xfId="1" applyFont="1" applyFill="1" applyBorder="1" applyAlignment="1">
      <alignment horizontal="center"/>
    </xf>
    <xf numFmtId="0" fontId="37" fillId="4" borderId="18" xfId="1" applyFont="1" applyFill="1" applyBorder="1" applyAlignment="1">
      <alignment horizontal="center"/>
    </xf>
    <xf numFmtId="0" fontId="39" fillId="4" borderId="25" xfId="2" applyFont="1" applyFill="1" applyBorder="1" applyAlignment="1">
      <alignment horizontal="center" vertical="center"/>
    </xf>
    <xf numFmtId="0" fontId="39" fillId="4" borderId="26" xfId="2" applyFont="1" applyFill="1" applyBorder="1" applyAlignment="1">
      <alignment horizontal="center" vertical="center"/>
    </xf>
    <xf numFmtId="0" fontId="38" fillId="11" borderId="25" xfId="2" applyFont="1" applyFill="1" applyBorder="1" applyAlignment="1" applyProtection="1">
      <alignment horizontal="center"/>
      <protection locked="0"/>
    </xf>
    <xf numFmtId="0" fontId="39" fillId="4" borderId="23" xfId="2" applyFont="1" applyFill="1" applyBorder="1" applyAlignment="1">
      <alignment horizontal="center" vertical="center"/>
    </xf>
    <xf numFmtId="0" fontId="39" fillId="4" borderId="20" xfId="2" applyFont="1" applyFill="1" applyBorder="1" applyAlignment="1">
      <alignment horizontal="center" vertical="center"/>
    </xf>
    <xf numFmtId="0" fontId="39" fillId="4" borderId="27" xfId="2" applyFont="1" applyFill="1" applyBorder="1" applyAlignment="1">
      <alignment horizontal="center" vertical="center"/>
    </xf>
    <xf numFmtId="0" fontId="38" fillId="11" borderId="23" xfId="0" applyFont="1" applyFill="1" applyBorder="1" applyAlignment="1" applyProtection="1">
      <alignment horizontal="center" vertical="center"/>
      <protection locked="0"/>
    </xf>
    <xf numFmtId="0" fontId="38" fillId="11" borderId="19" xfId="0" applyFont="1" applyFill="1" applyBorder="1" applyAlignment="1" applyProtection="1">
      <alignment horizontal="center" vertical="center"/>
      <protection locked="0"/>
    </xf>
    <xf numFmtId="0" fontId="38" fillId="11" borderId="20" xfId="0" applyFont="1" applyFill="1" applyBorder="1" applyAlignment="1" applyProtection="1">
      <alignment horizontal="center" vertical="center"/>
      <protection locked="0"/>
    </xf>
    <xf numFmtId="0" fontId="37" fillId="4" borderId="16" xfId="3" applyFont="1" applyFill="1" applyBorder="1" applyAlignment="1">
      <alignment horizontal="center" vertical="center"/>
    </xf>
    <xf numFmtId="0" fontId="37" fillId="4" borderId="17" xfId="3" applyFont="1" applyFill="1" applyBorder="1" applyAlignment="1">
      <alignment horizontal="center" vertical="center"/>
    </xf>
    <xf numFmtId="0" fontId="37" fillId="4" borderId="18" xfId="3" applyFont="1" applyFill="1" applyBorder="1" applyAlignment="1">
      <alignment horizontal="center" vertical="center"/>
    </xf>
    <xf numFmtId="0" fontId="13" fillId="4" borderId="21" xfId="0" applyFont="1" applyFill="1" applyBorder="1" applyAlignment="1">
      <alignment horizontal="center" vertical="center"/>
    </xf>
    <xf numFmtId="0" fontId="13" fillId="4" borderId="13" xfId="0" applyFont="1" applyFill="1" applyBorder="1" applyAlignment="1">
      <alignment horizontal="center" vertical="center"/>
    </xf>
    <xf numFmtId="0" fontId="13" fillId="4" borderId="14" xfId="0" applyFont="1" applyFill="1" applyBorder="1" applyAlignment="1">
      <alignment horizontal="center" vertical="center"/>
    </xf>
    <xf numFmtId="0" fontId="13" fillId="4" borderId="22" xfId="0" applyFont="1" applyFill="1" applyBorder="1" applyAlignment="1">
      <alignment horizontal="center" vertical="center"/>
    </xf>
    <xf numFmtId="0" fontId="22" fillId="4" borderId="3" xfId="0" applyFont="1" applyFill="1" applyBorder="1" applyAlignment="1">
      <alignment horizontal="center" vertical="center"/>
    </xf>
    <xf numFmtId="0" fontId="22" fillId="4" borderId="4" xfId="0" applyFont="1" applyFill="1" applyBorder="1" applyAlignment="1">
      <alignment horizontal="center" vertical="center"/>
    </xf>
    <xf numFmtId="0" fontId="22" fillId="4" borderId="5" xfId="0" applyFont="1" applyFill="1" applyBorder="1" applyAlignment="1">
      <alignment horizontal="center" vertical="center"/>
    </xf>
    <xf numFmtId="0" fontId="22" fillId="4" borderId="8" xfId="0" applyFont="1" applyFill="1" applyBorder="1" applyAlignment="1">
      <alignment horizontal="center" vertical="center"/>
    </xf>
    <xf numFmtId="0" fontId="22" fillId="4" borderId="0" xfId="0" applyFont="1" applyFill="1" applyBorder="1" applyAlignment="1">
      <alignment horizontal="center" vertical="center"/>
    </xf>
    <xf numFmtId="0" fontId="22" fillId="4" borderId="9" xfId="0" applyFont="1" applyFill="1" applyBorder="1" applyAlignment="1">
      <alignment horizontal="center" vertical="center"/>
    </xf>
    <xf numFmtId="0" fontId="22" fillId="4" borderId="6" xfId="0" applyFont="1" applyFill="1" applyBorder="1" applyAlignment="1">
      <alignment horizontal="center" vertical="center"/>
    </xf>
    <xf numFmtId="0" fontId="22" fillId="4" borderId="2" xfId="0" applyFont="1" applyFill="1" applyBorder="1" applyAlignment="1">
      <alignment horizontal="center" vertical="center"/>
    </xf>
    <xf numFmtId="0" fontId="22" fillId="4" borderId="7" xfId="0" applyFont="1" applyFill="1" applyBorder="1" applyAlignment="1">
      <alignment horizontal="center" vertical="center"/>
    </xf>
    <xf numFmtId="0" fontId="15" fillId="4" borderId="16" xfId="0" applyFont="1" applyFill="1" applyBorder="1" applyAlignment="1">
      <alignment horizontal="center" vertical="center"/>
    </xf>
    <xf numFmtId="0" fontId="15" fillId="4" borderId="18" xfId="0" applyFont="1" applyFill="1" applyBorder="1" applyAlignment="1">
      <alignment horizontal="center" vertical="center"/>
    </xf>
    <xf numFmtId="0" fontId="13" fillId="4" borderId="23" xfId="0" applyFont="1" applyFill="1" applyBorder="1" applyAlignment="1">
      <alignment horizontal="center" vertical="center"/>
    </xf>
    <xf numFmtId="0" fontId="13" fillId="4" borderId="20" xfId="0" applyFont="1" applyFill="1" applyBorder="1" applyAlignment="1">
      <alignment horizontal="center" vertical="center"/>
    </xf>
    <xf numFmtId="0" fontId="14" fillId="4" borderId="16" xfId="0" applyFont="1" applyFill="1" applyBorder="1" applyAlignment="1" applyProtection="1">
      <alignment horizontal="center" vertical="center"/>
    </xf>
    <xf numFmtId="0" fontId="14" fillId="4" borderId="17" xfId="0" applyFont="1" applyFill="1" applyBorder="1" applyAlignment="1" applyProtection="1">
      <alignment horizontal="center" vertical="center"/>
    </xf>
    <xf numFmtId="0" fontId="14" fillId="4" borderId="18" xfId="0" applyFont="1" applyFill="1" applyBorder="1" applyAlignment="1" applyProtection="1">
      <alignment horizontal="center" vertical="center"/>
    </xf>
    <xf numFmtId="0" fontId="15" fillId="10" borderId="27" xfId="0" applyFont="1" applyFill="1" applyBorder="1" applyAlignment="1" applyProtection="1">
      <alignment horizontal="left" vertical="center"/>
    </xf>
    <xf numFmtId="173" fontId="18" fillId="4" borderId="27" xfId="0" applyNumberFormat="1" applyFont="1" applyFill="1" applyBorder="1" applyAlignment="1" applyProtection="1">
      <alignment horizontal="center" vertical="center"/>
    </xf>
    <xf numFmtId="0" fontId="15" fillId="4" borderId="16" xfId="0" applyFont="1" applyFill="1" applyBorder="1" applyAlignment="1" applyProtection="1">
      <alignment horizontal="center"/>
    </xf>
    <xf numFmtId="0" fontId="15" fillId="4" borderId="17" xfId="0" applyFont="1" applyFill="1" applyBorder="1" applyAlignment="1" applyProtection="1">
      <alignment horizontal="center"/>
    </xf>
    <xf numFmtId="0" fontId="15" fillId="4" borderId="18" xfId="0" applyFont="1" applyFill="1" applyBorder="1" applyAlignment="1" applyProtection="1">
      <alignment horizontal="center"/>
    </xf>
    <xf numFmtId="0" fontId="17" fillId="4" borderId="16" xfId="0" applyFont="1" applyFill="1" applyBorder="1" applyAlignment="1" applyProtection="1">
      <alignment horizontal="center" vertical="center"/>
    </xf>
    <xf numFmtId="0" fontId="17" fillId="4" borderId="18" xfId="0" applyFont="1" applyFill="1" applyBorder="1" applyAlignment="1" applyProtection="1">
      <alignment horizontal="center" vertical="center"/>
    </xf>
    <xf numFmtId="171" fontId="13" fillId="11" borderId="26" xfId="0" applyNumberFormat="1" applyFont="1" applyFill="1" applyBorder="1" applyAlignment="1" applyProtection="1">
      <alignment horizontal="center" vertical="center"/>
    </xf>
    <xf numFmtId="3" fontId="13" fillId="11" borderId="27" xfId="0" applyNumberFormat="1" applyFont="1" applyFill="1" applyBorder="1" applyAlignment="1" applyProtection="1">
      <alignment horizontal="center" vertical="center"/>
    </xf>
    <xf numFmtId="0" fontId="15" fillId="4" borderId="25" xfId="0" applyFont="1" applyFill="1" applyBorder="1" applyAlignment="1" applyProtection="1">
      <alignment horizontal="left" vertical="center"/>
    </xf>
    <xf numFmtId="0" fontId="15" fillId="4" borderId="26" xfId="0" applyFont="1" applyFill="1" applyBorder="1" applyAlignment="1" applyProtection="1">
      <alignment horizontal="left" vertical="center"/>
    </xf>
    <xf numFmtId="0" fontId="15" fillId="4" borderId="27" xfId="0" applyFont="1" applyFill="1" applyBorder="1" applyAlignment="1" applyProtection="1">
      <alignment horizontal="left" vertical="center"/>
    </xf>
    <xf numFmtId="171" fontId="13" fillId="11" borderId="25" xfId="0" applyNumberFormat="1" applyFont="1" applyFill="1" applyBorder="1" applyAlignment="1" applyProtection="1">
      <alignment horizontal="center" vertical="center"/>
    </xf>
    <xf numFmtId="3" fontId="13" fillId="11" borderId="26" xfId="0" applyNumberFormat="1" applyFont="1" applyFill="1" applyBorder="1" applyAlignment="1" applyProtection="1">
      <alignment horizontal="center" vertical="center"/>
    </xf>
    <xf numFmtId="0" fontId="15" fillId="4" borderId="16" xfId="0" applyFont="1" applyFill="1" applyBorder="1" applyAlignment="1" applyProtection="1">
      <alignment horizontal="center" vertical="center"/>
    </xf>
    <xf numFmtId="0" fontId="15" fillId="4" borderId="18" xfId="0" applyFont="1" applyFill="1" applyBorder="1" applyAlignment="1" applyProtection="1">
      <alignment horizontal="center" vertical="center"/>
    </xf>
    <xf numFmtId="14" fontId="22" fillId="4" borderId="3" xfId="0" applyNumberFormat="1" applyFont="1" applyFill="1" applyBorder="1" applyAlignment="1" applyProtection="1">
      <alignment horizontal="center" vertical="center"/>
    </xf>
    <xf numFmtId="14" fontId="22" fillId="4" borderId="4" xfId="0" applyNumberFormat="1" applyFont="1" applyFill="1" applyBorder="1" applyAlignment="1" applyProtection="1">
      <alignment horizontal="center" vertical="center"/>
    </xf>
    <xf numFmtId="14" fontId="22" fillId="4" borderId="5" xfId="0" applyNumberFormat="1" applyFont="1" applyFill="1" applyBorder="1" applyAlignment="1" applyProtection="1">
      <alignment horizontal="center" vertical="center"/>
    </xf>
    <xf numFmtId="14" fontId="22" fillId="4" borderId="8" xfId="0" applyNumberFormat="1" applyFont="1" applyFill="1" applyBorder="1" applyAlignment="1" applyProtection="1">
      <alignment horizontal="center" vertical="center"/>
    </xf>
    <xf numFmtId="14" fontId="22" fillId="4" borderId="0" xfId="0" applyNumberFormat="1" applyFont="1" applyFill="1" applyBorder="1" applyAlignment="1" applyProtection="1">
      <alignment horizontal="center" vertical="center"/>
    </xf>
    <xf numFmtId="14" fontId="22" fillId="4" borderId="9" xfId="0" applyNumberFormat="1" applyFont="1" applyFill="1" applyBorder="1" applyAlignment="1" applyProtection="1">
      <alignment horizontal="center" vertical="center"/>
    </xf>
    <xf numFmtId="14" fontId="22" fillId="4" borderId="6" xfId="0" applyNumberFormat="1" applyFont="1" applyFill="1" applyBorder="1" applyAlignment="1" applyProtection="1">
      <alignment horizontal="center" vertical="center"/>
    </xf>
    <xf numFmtId="14" fontId="22" fillId="4" borderId="2" xfId="0" applyNumberFormat="1" applyFont="1" applyFill="1" applyBorder="1" applyAlignment="1" applyProtection="1">
      <alignment horizontal="center" vertical="center"/>
    </xf>
    <xf numFmtId="14" fontId="22" fillId="4" borderId="7" xfId="0" applyNumberFormat="1" applyFont="1" applyFill="1" applyBorder="1" applyAlignment="1" applyProtection="1">
      <alignment horizontal="center" vertical="center"/>
    </xf>
    <xf numFmtId="0" fontId="18" fillId="4" borderId="25" xfId="0" applyFont="1" applyFill="1" applyBorder="1" applyAlignment="1" applyProtection="1">
      <alignment horizontal="center" vertical="center"/>
    </xf>
    <xf numFmtId="0" fontId="18" fillId="4" borderId="26" xfId="0" applyFont="1" applyFill="1" applyBorder="1" applyAlignment="1" applyProtection="1">
      <alignment horizontal="center" vertical="center"/>
    </xf>
    <xf numFmtId="0" fontId="13" fillId="11" borderId="26" xfId="0" applyFont="1" applyFill="1" applyBorder="1" applyAlignment="1" applyProtection="1">
      <alignment horizontal="center" vertical="center"/>
    </xf>
    <xf numFmtId="0" fontId="13" fillId="11" borderId="27" xfId="0" applyFont="1" applyFill="1" applyBorder="1" applyAlignment="1" applyProtection="1">
      <alignment horizontal="center" vertical="center"/>
    </xf>
    <xf numFmtId="0" fontId="18" fillId="11" borderId="25" xfId="0" applyFont="1" applyFill="1" applyBorder="1" applyAlignment="1" applyProtection="1">
      <alignment horizontal="center" vertical="center"/>
    </xf>
    <xf numFmtId="0" fontId="18" fillId="11" borderId="26" xfId="0" applyFont="1" applyFill="1" applyBorder="1" applyAlignment="1" applyProtection="1">
      <alignment horizontal="center" vertical="center"/>
    </xf>
    <xf numFmtId="0" fontId="18" fillId="11" borderId="27" xfId="0" applyFont="1" applyFill="1" applyBorder="1" applyAlignment="1" applyProtection="1">
      <alignment horizontal="center" vertical="center"/>
    </xf>
    <xf numFmtId="0" fontId="20" fillId="4" borderId="24" xfId="0" applyFont="1" applyFill="1" applyBorder="1" applyAlignment="1" applyProtection="1">
      <alignment horizontal="center"/>
    </xf>
    <xf numFmtId="0" fontId="14" fillId="4" borderId="26" xfId="0" applyFont="1" applyFill="1" applyBorder="1" applyAlignment="1" applyProtection="1">
      <alignment horizontal="left" vertical="center"/>
    </xf>
    <xf numFmtId="0" fontId="14" fillId="4" borderId="27" xfId="0" applyFont="1" applyFill="1" applyBorder="1" applyAlignment="1" applyProtection="1">
      <alignment horizontal="left" vertical="center"/>
    </xf>
    <xf numFmtId="0" fontId="20" fillId="4" borderId="16" xfId="0" applyFont="1" applyFill="1" applyBorder="1" applyAlignment="1" applyProtection="1">
      <alignment horizontal="center"/>
    </xf>
    <xf numFmtId="0" fontId="20" fillId="4" borderId="17" xfId="0" applyFont="1" applyFill="1" applyBorder="1" applyAlignment="1" applyProtection="1">
      <alignment horizontal="center"/>
    </xf>
    <xf numFmtId="0" fontId="20" fillId="4" borderId="18" xfId="0" applyFont="1" applyFill="1" applyBorder="1" applyAlignment="1" applyProtection="1">
      <alignment horizontal="center"/>
    </xf>
    <xf numFmtId="0" fontId="13" fillId="11" borderId="21" xfId="0" applyFont="1" applyFill="1" applyBorder="1" applyAlignment="1" applyProtection="1">
      <alignment horizontal="center" vertical="center"/>
    </xf>
    <xf numFmtId="0" fontId="13" fillId="11" borderId="13" xfId="0" applyFont="1" applyFill="1" applyBorder="1" applyAlignment="1" applyProtection="1">
      <alignment horizontal="center" vertical="center"/>
    </xf>
    <xf numFmtId="0" fontId="13" fillId="11" borderId="14" xfId="0" applyFont="1" applyFill="1" applyBorder="1" applyAlignment="1" applyProtection="1">
      <alignment horizontal="center" vertical="center"/>
    </xf>
    <xf numFmtId="0" fontId="13" fillId="11" borderId="22" xfId="0" applyFont="1" applyFill="1" applyBorder="1" applyAlignment="1" applyProtection="1">
      <alignment horizontal="center" vertical="center"/>
    </xf>
    <xf numFmtId="0" fontId="15" fillId="10" borderId="25" xfId="0" applyFont="1" applyFill="1" applyBorder="1" applyAlignment="1" applyProtection="1">
      <alignment horizontal="left" vertical="center"/>
    </xf>
    <xf numFmtId="0" fontId="13" fillId="11" borderId="25" xfId="0" applyFont="1" applyFill="1" applyBorder="1" applyAlignment="1" applyProtection="1">
      <alignment horizontal="center" vertical="center"/>
    </xf>
    <xf numFmtId="0" fontId="15" fillId="10" borderId="26" xfId="0" applyFont="1" applyFill="1" applyBorder="1" applyAlignment="1" applyProtection="1">
      <alignment horizontal="left" vertical="center"/>
    </xf>
    <xf numFmtId="173" fontId="13" fillId="11" borderId="26" xfId="0" applyNumberFormat="1" applyFont="1" applyFill="1" applyBorder="1" applyAlignment="1" applyProtection="1">
      <alignment horizontal="center" vertical="center"/>
    </xf>
    <xf numFmtId="0" fontId="20" fillId="4" borderId="16" xfId="0" applyFont="1" applyFill="1" applyBorder="1" applyAlignment="1" applyProtection="1">
      <alignment horizontal="center" vertical="center"/>
    </xf>
    <xf numFmtId="0" fontId="20" fillId="4" borderId="17" xfId="0" applyFont="1" applyFill="1" applyBorder="1" applyAlignment="1" applyProtection="1">
      <alignment horizontal="center" vertical="center"/>
    </xf>
    <xf numFmtId="0" fontId="20" fillId="4" borderId="18" xfId="0" applyFont="1" applyFill="1" applyBorder="1" applyAlignment="1" applyProtection="1">
      <alignment horizontal="center" vertical="center"/>
    </xf>
    <xf numFmtId="0" fontId="13" fillId="6" borderId="0" xfId="0" applyFont="1" applyFill="1" applyBorder="1" applyAlignment="1" applyProtection="1">
      <alignment horizontal="right" vertical="center"/>
    </xf>
    <xf numFmtId="0" fontId="15" fillId="4" borderId="24" xfId="0" applyFont="1" applyFill="1" applyBorder="1" applyAlignment="1" applyProtection="1">
      <alignment horizontal="center" vertical="center"/>
    </xf>
    <xf numFmtId="0" fontId="13" fillId="4" borderId="18" xfId="0" applyFont="1" applyFill="1" applyBorder="1" applyAlignment="1" applyProtection="1">
      <alignment horizontal="center" vertical="center"/>
    </xf>
    <xf numFmtId="0" fontId="15" fillId="4" borderId="17" xfId="0" applyFont="1" applyFill="1" applyBorder="1" applyAlignment="1" applyProtection="1">
      <alignment horizontal="center" vertical="center"/>
    </xf>
    <xf numFmtId="0" fontId="13" fillId="11" borderId="23" xfId="0" applyFont="1" applyFill="1" applyBorder="1" applyAlignment="1" applyProtection="1">
      <alignment horizontal="center" vertical="center"/>
    </xf>
    <xf numFmtId="0" fontId="13" fillId="11" borderId="20" xfId="0" applyFont="1" applyFill="1" applyBorder="1" applyAlignment="1" applyProtection="1">
      <alignment horizontal="center" vertical="center"/>
    </xf>
    <xf numFmtId="0" fontId="18" fillId="0" borderId="26" xfId="3" applyFont="1" applyFill="1" applyBorder="1" applyAlignment="1" applyProtection="1">
      <alignment horizontal="left" vertical="center"/>
      <protection locked="0"/>
    </xf>
    <xf numFmtId="0" fontId="18" fillId="0" borderId="27" xfId="3" applyFont="1" applyFill="1" applyBorder="1" applyAlignment="1" applyProtection="1">
      <alignment horizontal="left" vertical="center"/>
      <protection locked="0"/>
    </xf>
    <xf numFmtId="0" fontId="18" fillId="0" borderId="25" xfId="3" applyFont="1" applyFill="1" applyBorder="1" applyAlignment="1" applyProtection="1">
      <alignment horizontal="left" vertical="center"/>
      <protection locked="0"/>
    </xf>
    <xf numFmtId="0" fontId="21" fillId="4" borderId="3" xfId="3" applyFont="1" applyFill="1" applyBorder="1" applyAlignment="1">
      <alignment horizontal="center" vertical="center"/>
    </xf>
    <xf numFmtId="0" fontId="21" fillId="4" borderId="4" xfId="3" applyFont="1" applyFill="1" applyBorder="1" applyAlignment="1">
      <alignment horizontal="center" vertical="center"/>
    </xf>
    <xf numFmtId="0" fontId="21" fillId="4" borderId="5" xfId="3" applyFont="1" applyFill="1" applyBorder="1" applyAlignment="1">
      <alignment horizontal="center" vertical="center"/>
    </xf>
    <xf numFmtId="0" fontId="21" fillId="4" borderId="8" xfId="3" applyFont="1" applyFill="1" applyBorder="1" applyAlignment="1">
      <alignment horizontal="center" vertical="center"/>
    </xf>
    <xf numFmtId="0" fontId="21" fillId="4" borderId="0" xfId="3" applyFont="1" applyFill="1" applyBorder="1" applyAlignment="1">
      <alignment horizontal="center" vertical="center"/>
    </xf>
    <xf numFmtId="0" fontId="21" fillId="4" borderId="9" xfId="3" applyFont="1" applyFill="1" applyBorder="1" applyAlignment="1">
      <alignment horizontal="center" vertical="center"/>
    </xf>
    <xf numFmtId="0" fontId="21" fillId="4" borderId="6" xfId="3" applyFont="1" applyFill="1" applyBorder="1" applyAlignment="1">
      <alignment horizontal="center" vertical="center"/>
    </xf>
    <xf numFmtId="0" fontId="21" fillId="4" borderId="2" xfId="3" applyFont="1" applyFill="1" applyBorder="1" applyAlignment="1">
      <alignment horizontal="center" vertical="center"/>
    </xf>
    <xf numFmtId="0" fontId="21" fillId="4" borderId="7" xfId="3" applyFont="1" applyFill="1" applyBorder="1" applyAlignment="1">
      <alignment horizontal="center" vertical="center"/>
    </xf>
    <xf numFmtId="0" fontId="14" fillId="4" borderId="16" xfId="3" applyFont="1" applyFill="1" applyBorder="1" applyAlignment="1">
      <alignment horizontal="center" vertical="center"/>
    </xf>
    <xf numFmtId="0" fontId="14" fillId="4" borderId="17" xfId="3" applyFont="1" applyFill="1" applyBorder="1" applyAlignment="1">
      <alignment horizontal="center" vertical="center"/>
    </xf>
    <xf numFmtId="0" fontId="14" fillId="4" borderId="18" xfId="3" applyFont="1" applyFill="1" applyBorder="1" applyAlignment="1">
      <alignment horizontal="center" vertical="center"/>
    </xf>
    <xf numFmtId="0" fontId="22" fillId="4" borderId="3" xfId="0" applyNumberFormat="1" applyFont="1" applyFill="1" applyBorder="1" applyAlignment="1">
      <alignment horizontal="center" vertical="center"/>
    </xf>
    <xf numFmtId="0" fontId="22" fillId="4" borderId="4" xfId="0" applyNumberFormat="1" applyFont="1" applyFill="1" applyBorder="1" applyAlignment="1">
      <alignment horizontal="center" vertical="center"/>
    </xf>
    <xf numFmtId="0" fontId="22" fillId="4" borderId="5" xfId="0" applyNumberFormat="1" applyFont="1" applyFill="1" applyBorder="1" applyAlignment="1">
      <alignment horizontal="center" vertical="center"/>
    </xf>
    <xf numFmtId="0" fontId="22" fillId="4" borderId="8" xfId="0" applyNumberFormat="1" applyFont="1" applyFill="1" applyBorder="1" applyAlignment="1">
      <alignment horizontal="center" vertical="center"/>
    </xf>
    <xf numFmtId="0" fontId="22" fillId="4" borderId="0" xfId="0" applyNumberFormat="1" applyFont="1" applyFill="1" applyBorder="1" applyAlignment="1">
      <alignment horizontal="center" vertical="center"/>
    </xf>
    <xf numFmtId="0" fontId="22" fillId="4" borderId="9" xfId="0" applyNumberFormat="1" applyFont="1" applyFill="1" applyBorder="1" applyAlignment="1">
      <alignment horizontal="center" vertical="center"/>
    </xf>
    <xf numFmtId="0" fontId="22" fillId="4" borderId="6" xfId="0" applyNumberFormat="1" applyFont="1" applyFill="1" applyBorder="1" applyAlignment="1">
      <alignment horizontal="center" vertical="center"/>
    </xf>
    <xf numFmtId="0" fontId="22" fillId="4" borderId="2" xfId="0" applyNumberFormat="1" applyFont="1" applyFill="1" applyBorder="1" applyAlignment="1">
      <alignment horizontal="center" vertical="center"/>
    </xf>
    <xf numFmtId="0" fontId="22" fillId="4" borderId="7" xfId="0" applyNumberFormat="1" applyFont="1" applyFill="1" applyBorder="1" applyAlignment="1">
      <alignment horizontal="center" vertical="center"/>
    </xf>
    <xf numFmtId="0" fontId="0" fillId="0" borderId="3" xfId="0"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8" xfId="0" applyBorder="1" applyAlignment="1">
      <alignment horizontal="left" vertical="top"/>
    </xf>
    <xf numFmtId="0" fontId="0" fillId="0" borderId="0" xfId="0" applyBorder="1" applyAlignment="1">
      <alignment horizontal="left" vertical="top"/>
    </xf>
    <xf numFmtId="0" fontId="0" fillId="0" borderId="9" xfId="0" applyBorder="1" applyAlignment="1">
      <alignment horizontal="left" vertical="top"/>
    </xf>
    <xf numFmtId="0" fontId="0" fillId="0" borderId="6" xfId="0" applyBorder="1" applyAlignment="1">
      <alignment horizontal="left" vertical="top"/>
    </xf>
    <xf numFmtId="0" fontId="0" fillId="0" borderId="2" xfId="0" applyBorder="1" applyAlignment="1">
      <alignment horizontal="left" vertical="top"/>
    </xf>
    <xf numFmtId="0" fontId="0" fillId="0" borderId="7" xfId="0" applyBorder="1" applyAlignment="1">
      <alignment horizontal="left" vertical="top"/>
    </xf>
    <xf numFmtId="0" fontId="0" fillId="0" borderId="1" xfId="0" applyBorder="1" applyAlignment="1">
      <alignment horizontal="center"/>
    </xf>
    <xf numFmtId="0" fontId="0" fillId="0" borderId="13" xfId="0" applyBorder="1" applyAlignment="1">
      <alignment horizontal="center"/>
    </xf>
    <xf numFmtId="0" fontId="0" fillId="0" borderId="21" xfId="0" applyBorder="1" applyAlignment="1">
      <alignment horizontal="center"/>
    </xf>
    <xf numFmtId="0" fontId="7" fillId="0" borderId="4" xfId="0" applyFont="1" applyBorder="1" applyAlignment="1">
      <alignment horizontal="center" vertical="center"/>
    </xf>
    <xf numFmtId="0" fontId="7" fillId="0" borderId="5" xfId="0" applyFont="1" applyBorder="1" applyAlignment="1">
      <alignment horizontal="center" vertical="center"/>
    </xf>
    <xf numFmtId="0" fontId="7" fillId="0" borderId="2" xfId="0" applyFont="1" applyBorder="1" applyAlignment="1">
      <alignment horizontal="center" vertical="center"/>
    </xf>
    <xf numFmtId="0" fontId="7" fillId="0" borderId="7" xfId="0" applyFont="1" applyBorder="1" applyAlignment="1">
      <alignment horizontal="center" vertical="center"/>
    </xf>
    <xf numFmtId="0" fontId="7" fillId="0" borderId="3" xfId="0" applyFont="1" applyBorder="1" applyAlignment="1">
      <alignment horizontal="center" vertical="center"/>
    </xf>
    <xf numFmtId="0" fontId="7" fillId="0" borderId="6" xfId="0" applyFont="1" applyBorder="1" applyAlignment="1">
      <alignment horizontal="center" vertical="center"/>
    </xf>
    <xf numFmtId="0" fontId="0" fillId="0" borderId="19" xfId="0" applyBorder="1" applyAlignment="1">
      <alignment horizontal="center"/>
    </xf>
    <xf numFmtId="0" fontId="0" fillId="0" borderId="20" xfId="0" applyBorder="1" applyAlignment="1">
      <alignment horizontal="center"/>
    </xf>
    <xf numFmtId="0" fontId="0" fillId="0" borderId="23" xfId="0" applyBorder="1" applyAlignment="1">
      <alignment horizontal="center"/>
    </xf>
    <xf numFmtId="0" fontId="0" fillId="0" borderId="45" xfId="0" applyBorder="1" applyAlignment="1">
      <alignment horizontal="center" vertical="center"/>
    </xf>
    <xf numFmtId="0" fontId="0" fillId="0" borderId="44" xfId="0" applyBorder="1" applyAlignment="1">
      <alignment horizontal="center" vertical="center"/>
    </xf>
    <xf numFmtId="0" fontId="0" fillId="0" borderId="43" xfId="0" applyBorder="1" applyAlignment="1">
      <alignment horizontal="center" vertical="center"/>
    </xf>
    <xf numFmtId="0" fontId="0" fillId="0" borderId="42"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5" xfId="0" applyBorder="1" applyAlignment="1">
      <alignment horizontal="center"/>
    </xf>
    <xf numFmtId="0" fontId="0" fillId="0" borderId="22" xfId="0" applyBorder="1" applyAlignment="1">
      <alignment horizontal="center"/>
    </xf>
    <xf numFmtId="0" fontId="0" fillId="0" borderId="14" xfId="0" applyBorder="1" applyAlignment="1">
      <alignment horizontal="center"/>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8" xfId="0" applyBorder="1" applyAlignment="1">
      <alignment horizontal="left" vertical="top" wrapText="1"/>
    </xf>
    <xf numFmtId="0" fontId="0" fillId="0" borderId="0" xfId="0" applyBorder="1" applyAlignment="1">
      <alignment horizontal="left" vertical="top" wrapText="1"/>
    </xf>
    <xf numFmtId="0" fontId="0" fillId="0" borderId="9" xfId="0" applyBorder="1" applyAlignment="1">
      <alignment horizontal="left" vertical="top" wrapText="1"/>
    </xf>
    <xf numFmtId="0" fontId="0" fillId="0" borderId="6" xfId="0" applyBorder="1" applyAlignment="1">
      <alignment horizontal="left" vertical="top" wrapText="1"/>
    </xf>
    <xf numFmtId="0" fontId="0" fillId="0" borderId="2" xfId="0" applyBorder="1" applyAlignment="1">
      <alignment horizontal="left" vertical="top" wrapText="1"/>
    </xf>
    <xf numFmtId="0" fontId="0" fillId="0" borderId="7" xfId="0" applyBorder="1" applyAlignment="1">
      <alignment horizontal="left" vertical="top" wrapText="1"/>
    </xf>
    <xf numFmtId="0" fontId="0" fillId="0" borderId="3" xfId="0" applyFont="1" applyBorder="1" applyAlignment="1">
      <alignment horizontal="left" vertical="top" wrapText="1"/>
    </xf>
    <xf numFmtId="0" fontId="0" fillId="0" borderId="4" xfId="0" applyFont="1" applyBorder="1" applyAlignment="1">
      <alignment horizontal="left" vertical="top" wrapText="1"/>
    </xf>
    <xf numFmtId="0" fontId="0" fillId="0" borderId="5" xfId="0" applyFont="1" applyBorder="1" applyAlignment="1">
      <alignment horizontal="left" vertical="top" wrapText="1"/>
    </xf>
    <xf numFmtId="0" fontId="0" fillId="0" borderId="8" xfId="0" applyFont="1" applyBorder="1" applyAlignment="1">
      <alignment horizontal="left" vertical="top" wrapText="1"/>
    </xf>
    <xf numFmtId="0" fontId="0" fillId="0" borderId="0" xfId="0" applyFont="1" applyBorder="1" applyAlignment="1">
      <alignment horizontal="left" vertical="top" wrapText="1"/>
    </xf>
    <xf numFmtId="0" fontId="0" fillId="0" borderId="9" xfId="0" applyFont="1" applyBorder="1" applyAlignment="1">
      <alignment horizontal="left" vertical="top" wrapText="1"/>
    </xf>
    <xf numFmtId="0" fontId="0" fillId="0" borderId="6" xfId="0" applyFont="1" applyBorder="1" applyAlignment="1">
      <alignment horizontal="left" vertical="top" wrapText="1"/>
    </xf>
    <xf numFmtId="0" fontId="0" fillId="0" borderId="2" xfId="0" applyFont="1" applyBorder="1" applyAlignment="1">
      <alignment horizontal="left" vertical="top" wrapText="1"/>
    </xf>
    <xf numFmtId="0" fontId="0" fillId="0" borderId="7" xfId="0" applyFont="1" applyBorder="1" applyAlignment="1">
      <alignment horizontal="left" vertical="top" wrapTex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28" fillId="4" borderId="3" xfId="0" applyFont="1" applyFill="1" applyBorder="1" applyAlignment="1">
      <alignment horizontal="center" vertical="center"/>
    </xf>
    <xf numFmtId="0" fontId="28" fillId="4" borderId="4" xfId="0" applyFont="1" applyFill="1" applyBorder="1" applyAlignment="1">
      <alignment horizontal="center" vertical="center"/>
    </xf>
    <xf numFmtId="0" fontId="28" fillId="4" borderId="5"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0" xfId="0" applyFont="1" applyFill="1" applyBorder="1" applyAlignment="1">
      <alignment horizontal="center" vertical="center"/>
    </xf>
    <xf numFmtId="0" fontId="28" fillId="4" borderId="9" xfId="0" applyFont="1" applyFill="1" applyBorder="1" applyAlignment="1">
      <alignment horizontal="center" vertical="center"/>
    </xf>
    <xf numFmtId="0" fontId="28" fillId="4" borderId="6" xfId="0" applyFont="1" applyFill="1" applyBorder="1" applyAlignment="1">
      <alignment horizontal="center" vertical="center"/>
    </xf>
    <xf numFmtId="0" fontId="28" fillId="4" borderId="2" xfId="0" applyFont="1" applyFill="1" applyBorder="1" applyAlignment="1">
      <alignment horizontal="center" vertical="center"/>
    </xf>
    <xf numFmtId="0" fontId="28" fillId="4" borderId="7" xfId="0" applyFont="1" applyFill="1" applyBorder="1" applyAlignment="1">
      <alignment horizontal="center" vertical="center"/>
    </xf>
    <xf numFmtId="0" fontId="1" fillId="0" borderId="17" xfId="0" applyFont="1" applyBorder="1" applyAlignment="1">
      <alignment horizontal="center" vertical="center" wrapText="1"/>
    </xf>
    <xf numFmtId="0" fontId="6" fillId="0" borderId="4" xfId="0" applyFont="1" applyBorder="1" applyAlignment="1">
      <alignment horizontal="left" vertical="top"/>
    </xf>
    <xf numFmtId="0" fontId="6" fillId="0" borderId="3" xfId="0" applyFont="1" applyBorder="1" applyAlignment="1">
      <alignment horizontal="left" vertical="top"/>
    </xf>
    <xf numFmtId="0" fontId="6" fillId="0" borderId="6" xfId="0" applyFont="1" applyBorder="1" applyAlignment="1">
      <alignment horizontal="left" vertical="top"/>
    </xf>
    <xf numFmtId="0" fontId="6" fillId="0" borderId="2" xfId="0" applyFont="1" applyBorder="1" applyAlignment="1">
      <alignment horizontal="left" vertical="top"/>
    </xf>
    <xf numFmtId="0" fontId="0" fillId="0" borderId="4" xfId="0" applyBorder="1" applyAlignment="1">
      <alignment horizontal="center" vertical="top" wrapText="1"/>
    </xf>
    <xf numFmtId="0" fontId="0" fillId="0" borderId="5" xfId="0" applyBorder="1" applyAlignment="1">
      <alignment horizontal="center" vertical="top" wrapText="1"/>
    </xf>
    <xf numFmtId="0" fontId="0" fillId="0" borderId="0" xfId="0" applyBorder="1" applyAlignment="1">
      <alignment horizontal="center" vertical="top" wrapText="1"/>
    </xf>
    <xf numFmtId="0" fontId="0" fillId="0" borderId="9" xfId="0" applyBorder="1" applyAlignment="1">
      <alignment horizontal="center" vertical="top" wrapText="1"/>
    </xf>
    <xf numFmtId="0" fontId="0" fillId="0" borderId="2" xfId="0" applyBorder="1" applyAlignment="1">
      <alignment horizontal="center" vertical="top" wrapText="1"/>
    </xf>
    <xf numFmtId="0" fontId="0" fillId="0" borderId="7" xfId="0" applyBorder="1" applyAlignment="1">
      <alignment horizontal="center" vertical="top" wrapText="1"/>
    </xf>
    <xf numFmtId="0" fontId="14" fillId="0" borderId="21" xfId="3" applyNumberFormat="1" applyFont="1" applyFill="1" applyBorder="1" applyAlignment="1" applyProtection="1">
      <alignment horizontal="center" vertical="center"/>
      <protection locked="0"/>
    </xf>
    <xf numFmtId="0" fontId="14" fillId="0" borderId="1" xfId="3" applyNumberFormat="1" applyFont="1" applyFill="1" applyBorder="1" applyAlignment="1" applyProtection="1">
      <alignment horizontal="center" vertical="center"/>
      <protection locked="0"/>
    </xf>
    <xf numFmtId="0" fontId="14" fillId="0" borderId="13" xfId="3" applyNumberFormat="1" applyFont="1" applyFill="1" applyBorder="1" applyAlignment="1" applyProtection="1">
      <alignment horizontal="center" vertical="center"/>
      <protection locked="0"/>
    </xf>
    <xf numFmtId="0" fontId="14" fillId="0" borderId="14" xfId="3" applyNumberFormat="1" applyFont="1" applyFill="1" applyBorder="1" applyAlignment="1" applyProtection="1">
      <alignment horizontal="center" vertical="center"/>
      <protection locked="0"/>
    </xf>
    <xf numFmtId="0" fontId="14" fillId="0" borderId="15" xfId="3" applyNumberFormat="1" applyFont="1" applyFill="1" applyBorder="1" applyAlignment="1" applyProtection="1">
      <alignment horizontal="center" vertical="center"/>
      <protection locked="0"/>
    </xf>
    <xf numFmtId="0" fontId="14" fillId="0" borderId="22" xfId="3" applyNumberFormat="1" applyFont="1" applyFill="1" applyBorder="1" applyAlignment="1" applyProtection="1">
      <alignment horizontal="center" vertical="center"/>
      <protection locked="0"/>
    </xf>
    <xf numFmtId="0" fontId="14" fillId="0" borderId="23" xfId="3" applyNumberFormat="1" applyFont="1" applyFill="1" applyBorder="1" applyAlignment="1" applyProtection="1">
      <alignment horizontal="center" vertical="center"/>
      <protection locked="0"/>
    </xf>
    <xf numFmtId="0" fontId="14" fillId="0" borderId="19" xfId="3" applyNumberFormat="1" applyFont="1" applyFill="1" applyBorder="1" applyAlignment="1" applyProtection="1">
      <alignment horizontal="center" vertical="center"/>
      <protection locked="0"/>
    </xf>
    <xf numFmtId="0" fontId="14" fillId="0" borderId="20" xfId="3" applyNumberFormat="1" applyFont="1" applyFill="1" applyBorder="1" applyAlignment="1" applyProtection="1">
      <alignment horizontal="center" vertical="center"/>
      <protection locked="0"/>
    </xf>
    <xf numFmtId="0" fontId="34" fillId="4" borderId="4" xfId="3" applyFont="1" applyFill="1" applyBorder="1" applyAlignment="1" applyProtection="1">
      <alignment horizontal="center" vertical="center"/>
      <protection locked="0"/>
    </xf>
    <xf numFmtId="0" fontId="34" fillId="4" borderId="5" xfId="3" applyFont="1" applyFill="1" applyBorder="1" applyAlignment="1" applyProtection="1">
      <alignment horizontal="center" vertical="center"/>
      <protection locked="0"/>
    </xf>
    <xf numFmtId="0" fontId="34" fillId="4" borderId="8" xfId="3" applyFont="1" applyFill="1" applyBorder="1" applyAlignment="1" applyProtection="1">
      <alignment horizontal="center" vertical="center"/>
      <protection locked="0"/>
    </xf>
    <xf numFmtId="0" fontId="34" fillId="4" borderId="0" xfId="3" applyFont="1" applyFill="1" applyBorder="1" applyAlignment="1" applyProtection="1">
      <alignment horizontal="center" vertical="center"/>
      <protection locked="0"/>
    </xf>
    <xf numFmtId="0" fontId="34" fillId="4" borderId="9" xfId="3" applyFont="1" applyFill="1" applyBorder="1" applyAlignment="1" applyProtection="1">
      <alignment horizontal="center" vertical="center"/>
      <protection locked="0"/>
    </xf>
    <xf numFmtId="0" fontId="34" fillId="4" borderId="6" xfId="3" applyFont="1" applyFill="1" applyBorder="1" applyAlignment="1" applyProtection="1">
      <alignment horizontal="center" vertical="center"/>
      <protection locked="0"/>
    </xf>
    <xf numFmtId="0" fontId="34" fillId="4" borderId="2" xfId="3" applyFont="1" applyFill="1" applyBorder="1" applyAlignment="1" applyProtection="1">
      <alignment horizontal="center" vertical="center"/>
      <protection locked="0"/>
    </xf>
    <xf numFmtId="0" fontId="34" fillId="4" borderId="7" xfId="3" applyFont="1" applyFill="1" applyBorder="1" applyAlignment="1" applyProtection="1">
      <alignment horizontal="center" vertical="center"/>
      <protection locked="0"/>
    </xf>
    <xf numFmtId="0" fontId="21" fillId="4" borderId="3" xfId="3" applyFont="1" applyFill="1" applyBorder="1" applyAlignment="1" applyProtection="1">
      <alignment horizontal="center" vertical="center"/>
      <protection locked="0"/>
    </xf>
  </cellXfs>
  <cellStyles count="6">
    <cellStyle name="40% - Accent4" xfId="2" builtinId="43"/>
    <cellStyle name="Accent3" xfId="1" builtinId="37"/>
    <cellStyle name="Comma" xfId="5" builtinId="3"/>
    <cellStyle name="Normal" xfId="0" builtinId="0"/>
    <cellStyle name="Normal 2" xfId="3" xr:uid="{00000000-0005-0000-0000-000004000000}"/>
    <cellStyle name="Normal_CO2SCHD" xfId="4" xr:uid="{00000000-0005-0000-0000-000005000000}"/>
  </cellStyles>
  <dxfs count="63">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
      <fill>
        <patternFill patternType="gray0625">
          <fgColor auto="1"/>
          <bgColor rgb="FF00FF00"/>
        </patternFill>
      </fill>
    </dxf>
    <dxf>
      <fill>
        <patternFill patternType="gray0625">
          <fgColor auto="1"/>
          <bgColor rgb="FF00FF00"/>
        </patternFill>
      </fill>
    </dxf>
    <dxf>
      <fill>
        <patternFill patternType="gray0625">
          <fgColor theme="1"/>
          <bgColor rgb="FF00FF00"/>
        </patternFill>
      </fill>
    </dxf>
  </dxfs>
  <tableStyles count="0" defaultTableStyle="TableStyleMedium2" defaultPivotStyle="PivotStyleLight16"/>
  <colors>
    <mruColors>
      <color rgb="FFFFFFCC"/>
      <color rgb="FFF1FF9F"/>
      <color rgb="FF00FF00"/>
      <color rgb="FF3ACD21"/>
      <color rgb="FF3AC327"/>
      <color rgb="FF1AC848"/>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firstButton="1" fmlaLink="$AH$199"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firstButton="1" fmlaLink="$AH$199"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firstButton="1" fmlaLink="$AH$199"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firstButton="1" fmlaLink="$AH$199"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firstButton="1" fmlaLink="$AH$199"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fmlaLink="$AH$199"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firstButton="1" fmlaLink="$AH$199"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firstButton="1" fmlaLink="$AH$199"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firstButton="1" fmlaLink="$AH$199"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firstButton="1" fmlaLink="$AH$199"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firstButton="1" fmlaLink="$AH$199" lockText="1" noThreeD="1"/>
</file>

<file path=xl/ctrlProps/ctrlProp37.xml><?xml version="1.0" encoding="utf-8"?>
<formControlPr xmlns="http://schemas.microsoft.com/office/spreadsheetml/2009/9/main" objectType="Radio"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firstButton="1" fmlaLink="$AH$199"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firstButton="1" fmlaLink="$AH$199"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firstButton="1" fmlaLink="$AH$199"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firstButton="1" fmlaLink="$AH$199"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Radio" firstButton="1" fmlaLink="$AH$199"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firstButton="1" fmlaLink="$AH$199"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Radio" firstButton="1" fmlaLink="$AH$199"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firstButton="1" fmlaLink="$AH$199"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firstButton="1" fmlaLink="$AH$199"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firstButton="1" fmlaLink="$AH$199" lockText="1" noThreeD="1"/>
</file>

<file path=xl/ctrlProps/ctrlProp67.xml><?xml version="1.0" encoding="utf-8"?>
<formControlPr xmlns="http://schemas.microsoft.com/office/spreadsheetml/2009/9/main" objectType="Radio" lockText="1" noThreeD="1"/>
</file>

<file path=xl/ctrlProps/ctrlProp68.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1</xdr:row>
      <xdr:rowOff>142875</xdr:rowOff>
    </xdr:from>
    <xdr:to>
      <xdr:col>2</xdr:col>
      <xdr:colOff>1220586</xdr:colOff>
      <xdr:row>5</xdr:row>
      <xdr:rowOff>49404</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533400"/>
          <a:ext cx="2148840" cy="5637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17</xdr:row>
          <xdr:rowOff>9525</xdr:rowOff>
        </xdr:from>
        <xdr:to>
          <xdr:col>8</xdr:col>
          <xdr:colOff>2276475</xdr:colOff>
          <xdr:row>17</xdr:row>
          <xdr:rowOff>238125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100-000002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Well #2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18</xdr:row>
          <xdr:rowOff>9525</xdr:rowOff>
        </xdr:from>
        <xdr:to>
          <xdr:col>8</xdr:col>
          <xdr:colOff>2276475</xdr:colOff>
          <xdr:row>18</xdr:row>
          <xdr:rowOff>238125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Well #3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19</xdr:row>
          <xdr:rowOff>9525</xdr:rowOff>
        </xdr:from>
        <xdr:to>
          <xdr:col>8</xdr:col>
          <xdr:colOff>2276475</xdr:colOff>
          <xdr:row>19</xdr:row>
          <xdr:rowOff>238125</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Well #4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20</xdr:row>
          <xdr:rowOff>9525</xdr:rowOff>
        </xdr:from>
        <xdr:to>
          <xdr:col>8</xdr:col>
          <xdr:colOff>2276475</xdr:colOff>
          <xdr:row>20</xdr:row>
          <xdr:rowOff>238125</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100-000006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Well #5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16</xdr:row>
          <xdr:rowOff>9525</xdr:rowOff>
        </xdr:from>
        <xdr:to>
          <xdr:col>8</xdr:col>
          <xdr:colOff>2276475</xdr:colOff>
          <xdr:row>16</xdr:row>
          <xdr:rowOff>238125</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Well #1</a:t>
              </a:r>
            </a:p>
          </xdr:txBody>
        </xdr:sp>
        <xdr:clientData fLocksWithSheet="0" fPrintsWithSheet="0"/>
      </xdr:twoCellAnchor>
    </mc:Choice>
    <mc:Fallback/>
  </mc:AlternateContent>
  <xdr:twoCellAnchor editAs="oneCell">
    <xdr:from>
      <xdr:col>1</xdr:col>
      <xdr:colOff>19050</xdr:colOff>
      <xdr:row>3</xdr:row>
      <xdr:rowOff>95250</xdr:rowOff>
    </xdr:from>
    <xdr:to>
      <xdr:col>5</xdr:col>
      <xdr:colOff>434340</xdr:colOff>
      <xdr:row>5</xdr:row>
      <xdr:rowOff>163704</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1025" y="790575"/>
          <a:ext cx="2148840" cy="56375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7" name="TextBox 6">
          <a:extLst>
            <a:ext uri="{FF2B5EF4-FFF2-40B4-BE49-F238E27FC236}">
              <a16:creationId xmlns:a16="http://schemas.microsoft.com/office/drawing/2014/main" id="{00000000-0008-0000-0200-000007000000}"/>
            </a:ext>
          </a:extLst>
        </xdr:cNvPr>
        <xdr:cNvSpPr txBox="1">
          <a:spLocks noChangeAspect="1"/>
        </xdr:cNvSpPr>
      </xdr:nvSpPr>
      <xdr:spPr>
        <a:xfrm>
          <a:off x="710716" y="13596258"/>
          <a:ext cx="12982153" cy="91440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52450"/>
          <a:ext cx="2148840"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13" name="TextBox 12">
          <a:extLst>
            <a:ext uri="{FF2B5EF4-FFF2-40B4-BE49-F238E27FC236}">
              <a16:creationId xmlns:a16="http://schemas.microsoft.com/office/drawing/2014/main" id="{00000000-0008-0000-0200-00000D000000}"/>
            </a:ext>
          </a:extLst>
        </xdr:cNvPr>
        <xdr:cNvSpPr txBox="1">
          <a:spLocks noChangeAspect="1"/>
        </xdr:cNvSpPr>
      </xdr:nvSpPr>
      <xdr:spPr>
        <a:xfrm>
          <a:off x="696686" y="12322630"/>
          <a:ext cx="12985297" cy="903514"/>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43015" name="Option Button 7" hidden="1">
              <a:extLst>
                <a:ext uri="{63B3BB69-23CF-44E3-9099-C40C66FF867C}">
                  <a14:compatExt spid="_x0000_s43015"/>
                </a:ext>
                <a:ext uri="{FF2B5EF4-FFF2-40B4-BE49-F238E27FC236}">
                  <a16:creationId xmlns:a16="http://schemas.microsoft.com/office/drawing/2014/main" id="{00000000-0008-0000-0200-000007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43016" name="Option Button 8" hidden="1">
              <a:extLst>
                <a:ext uri="{63B3BB69-23CF-44E3-9099-C40C66FF867C}">
                  <a14:compatExt spid="_x0000_s43016"/>
                </a:ext>
                <a:ext uri="{FF2B5EF4-FFF2-40B4-BE49-F238E27FC236}">
                  <a16:creationId xmlns:a16="http://schemas.microsoft.com/office/drawing/2014/main" id="{00000000-0008-0000-0200-000008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43017" name="Option Button 9" hidden="1">
              <a:extLst>
                <a:ext uri="{63B3BB69-23CF-44E3-9099-C40C66FF867C}">
                  <a14:compatExt spid="_x0000_s43017"/>
                </a:ext>
                <a:ext uri="{FF2B5EF4-FFF2-40B4-BE49-F238E27FC236}">
                  <a16:creationId xmlns:a16="http://schemas.microsoft.com/office/drawing/2014/main" id="{00000000-0008-0000-0200-000009A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10" name="TextBox 9">
          <a:extLst>
            <a:ext uri="{FF2B5EF4-FFF2-40B4-BE49-F238E27FC236}">
              <a16:creationId xmlns:a16="http://schemas.microsoft.com/office/drawing/2014/main" id="{00000000-0008-0000-0200-00000A000000}"/>
            </a:ext>
          </a:extLst>
        </xdr:cNvPr>
        <xdr:cNvSpPr txBox="1">
          <a:spLocks noChangeAspect="1"/>
        </xdr:cNvSpPr>
      </xdr:nvSpPr>
      <xdr:spPr>
        <a:xfrm>
          <a:off x="674914" y="14804571"/>
          <a:ext cx="12982153" cy="91440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9525</xdr:colOff>
      <xdr:row>1</xdr:row>
      <xdr:rowOff>142875</xdr:rowOff>
    </xdr:from>
    <xdr:to>
      <xdr:col>2</xdr:col>
      <xdr:colOff>1272540</xdr:colOff>
      <xdr:row>5</xdr:row>
      <xdr:rowOff>49404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twoCellAnchor>
  <xdr:oneCellAnchor>
    <xdr:from>
      <xdr:col>1</xdr:col>
      <xdr:colOff>9525</xdr:colOff>
      <xdr:row>62</xdr:row>
      <xdr:rowOff>142875</xdr:rowOff>
    </xdr:from>
    <xdr:ext cx="2148840" cy="563754"/>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oneCellAnchor>
    <xdr:from>
      <xdr:col>1</xdr:col>
      <xdr:colOff>9525</xdr:colOff>
      <xdr:row>123</xdr:row>
      <xdr:rowOff>142875</xdr:rowOff>
    </xdr:from>
    <xdr:ext cx="2148840" cy="563754"/>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oneCellAnchor>
    <xdr:from>
      <xdr:col>1</xdr:col>
      <xdr:colOff>9525</xdr:colOff>
      <xdr:row>184</xdr:row>
      <xdr:rowOff>142875</xdr:rowOff>
    </xdr:from>
    <xdr:ext cx="2148840" cy="563754"/>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oneCellAnchor>
    <xdr:from>
      <xdr:col>1</xdr:col>
      <xdr:colOff>9525</xdr:colOff>
      <xdr:row>245</xdr:row>
      <xdr:rowOff>142875</xdr:rowOff>
    </xdr:from>
    <xdr:ext cx="2148840" cy="563754"/>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oneCellAnchor>
    <xdr:from>
      <xdr:col>1</xdr:col>
      <xdr:colOff>9525</xdr:colOff>
      <xdr:row>306</xdr:row>
      <xdr:rowOff>142875</xdr:rowOff>
    </xdr:from>
    <xdr:ext cx="2148840" cy="563754"/>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oneCellAnchor>
    <xdr:from>
      <xdr:col>1</xdr:col>
      <xdr:colOff>9525</xdr:colOff>
      <xdr:row>367</xdr:row>
      <xdr:rowOff>142875</xdr:rowOff>
    </xdr:from>
    <xdr:ext cx="2148840" cy="563754"/>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2925" y="333375"/>
          <a:ext cx="2148840" cy="563754"/>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2</xdr:row>
      <xdr:rowOff>8467</xdr:rowOff>
    </xdr:from>
    <xdr:to>
      <xdr:col>2</xdr:col>
      <xdr:colOff>1018011</xdr:colOff>
      <xdr:row>5</xdr:row>
      <xdr:rowOff>721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133" y="400050"/>
          <a:ext cx="2144607" cy="56375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2</xdr:row>
      <xdr:rowOff>8467</xdr:rowOff>
    </xdr:from>
    <xdr:to>
      <xdr:col>2</xdr:col>
      <xdr:colOff>1018011</xdr:colOff>
      <xdr:row>5</xdr:row>
      <xdr:rowOff>721</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98992"/>
          <a:ext cx="2122911" cy="56375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19050</xdr:colOff>
      <xdr:row>2</xdr:row>
      <xdr:rowOff>8467</xdr:rowOff>
    </xdr:from>
    <xdr:to>
      <xdr:col>2</xdr:col>
      <xdr:colOff>1018011</xdr:colOff>
      <xdr:row>5</xdr:row>
      <xdr:rowOff>721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98992"/>
          <a:ext cx="2122911" cy="56375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19050</xdr:colOff>
      <xdr:row>2</xdr:row>
      <xdr:rowOff>8467</xdr:rowOff>
    </xdr:from>
    <xdr:to>
      <xdr:col>2</xdr:col>
      <xdr:colOff>1018011</xdr:colOff>
      <xdr:row>5</xdr:row>
      <xdr:rowOff>721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98992"/>
          <a:ext cx="2122911" cy="56375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19050</xdr:colOff>
      <xdr:row>2</xdr:row>
      <xdr:rowOff>8467</xdr:rowOff>
    </xdr:from>
    <xdr:to>
      <xdr:col>2</xdr:col>
      <xdr:colOff>1018011</xdr:colOff>
      <xdr:row>5</xdr:row>
      <xdr:rowOff>721</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5" y="398992"/>
          <a:ext cx="2122911" cy="56375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57150</xdr:colOff>
      <xdr:row>1</xdr:row>
      <xdr:rowOff>95250</xdr:rowOff>
    </xdr:from>
    <xdr:to>
      <xdr:col>4</xdr:col>
      <xdr:colOff>374592</xdr:colOff>
      <xdr:row>4</xdr:row>
      <xdr:rowOff>97029</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0" y="285750"/>
          <a:ext cx="2146242" cy="57327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2653135E-8DBD-405C-A44F-9573D91E3059}"/>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56CE8FC2-A2F2-43B4-8EC8-C3EC51388A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270550B1-70DC-4C9F-9701-B3E1120A081E}"/>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56321" name="Option Button 1" hidden="1">
              <a:extLst>
                <a:ext uri="{63B3BB69-23CF-44E3-9099-C40C66FF867C}">
                  <a14:compatExt spid="_x0000_s56321"/>
                </a:ext>
                <a:ext uri="{FF2B5EF4-FFF2-40B4-BE49-F238E27FC236}">
                  <a16:creationId xmlns:a16="http://schemas.microsoft.com/office/drawing/2014/main" id="{1A7F8AC0-0778-4362-9FEE-D08ACD5642B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56322" name="Option Button 2" hidden="1">
              <a:extLst>
                <a:ext uri="{63B3BB69-23CF-44E3-9099-C40C66FF867C}">
                  <a14:compatExt spid="_x0000_s56322"/>
                </a:ext>
                <a:ext uri="{FF2B5EF4-FFF2-40B4-BE49-F238E27FC236}">
                  <a16:creationId xmlns:a16="http://schemas.microsoft.com/office/drawing/2014/main" id="{BB811496-22B4-4B1E-B559-7F44108C432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56323" name="Option Button 3" hidden="1">
              <a:extLst>
                <a:ext uri="{63B3BB69-23CF-44E3-9099-C40C66FF867C}">
                  <a14:compatExt spid="_x0000_s56323"/>
                </a:ext>
                <a:ext uri="{FF2B5EF4-FFF2-40B4-BE49-F238E27FC236}">
                  <a16:creationId xmlns:a16="http://schemas.microsoft.com/office/drawing/2014/main" id="{7E5E9298-E059-48D2-9A80-97E2A5A211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8F60B11C-A624-4DE7-9D62-5890E2086644}"/>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7F34A576-FE7E-445E-BBB9-35AFBABB390F}"/>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A3B71941-026B-4397-A2B1-7EE44A970C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E1A22245-8F9D-4293-BA09-8709E8DABB32}"/>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57345" name="Option Button 1" hidden="1">
              <a:extLst>
                <a:ext uri="{63B3BB69-23CF-44E3-9099-C40C66FF867C}">
                  <a14:compatExt spid="_x0000_s57345"/>
                </a:ext>
                <a:ext uri="{FF2B5EF4-FFF2-40B4-BE49-F238E27FC236}">
                  <a16:creationId xmlns:a16="http://schemas.microsoft.com/office/drawing/2014/main" id="{7239D8EF-FC58-4FFF-8BB7-7247E03141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57346" name="Option Button 2" hidden="1">
              <a:extLst>
                <a:ext uri="{63B3BB69-23CF-44E3-9099-C40C66FF867C}">
                  <a14:compatExt spid="_x0000_s57346"/>
                </a:ext>
                <a:ext uri="{FF2B5EF4-FFF2-40B4-BE49-F238E27FC236}">
                  <a16:creationId xmlns:a16="http://schemas.microsoft.com/office/drawing/2014/main" id="{74A3C615-FAFF-4EB3-8D5F-C0DD0B0D74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57347" name="Option Button 3" hidden="1">
              <a:extLst>
                <a:ext uri="{63B3BB69-23CF-44E3-9099-C40C66FF867C}">
                  <a14:compatExt spid="_x0000_s57347"/>
                </a:ext>
                <a:ext uri="{FF2B5EF4-FFF2-40B4-BE49-F238E27FC236}">
                  <a16:creationId xmlns:a16="http://schemas.microsoft.com/office/drawing/2014/main" id="{8D6F4130-7B26-4CAA-97BA-0E50461D9B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93203712-51FC-4F89-B7F0-E3615C28C037}"/>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7AA776D3-95CE-4401-AF8F-828D307252FE}"/>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4C191F47-9B60-4CCC-AB8A-FD05921779C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679B0727-B703-434B-8255-77A9E2955746}"/>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58369" name="Option Button 1" hidden="1">
              <a:extLst>
                <a:ext uri="{63B3BB69-23CF-44E3-9099-C40C66FF867C}">
                  <a14:compatExt spid="_x0000_s58369"/>
                </a:ext>
                <a:ext uri="{FF2B5EF4-FFF2-40B4-BE49-F238E27FC236}">
                  <a16:creationId xmlns:a16="http://schemas.microsoft.com/office/drawing/2014/main" id="{290F56BE-8FEE-4631-B457-98175D4D81A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58370" name="Option Button 2" hidden="1">
              <a:extLst>
                <a:ext uri="{63B3BB69-23CF-44E3-9099-C40C66FF867C}">
                  <a14:compatExt spid="_x0000_s58370"/>
                </a:ext>
                <a:ext uri="{FF2B5EF4-FFF2-40B4-BE49-F238E27FC236}">
                  <a16:creationId xmlns:a16="http://schemas.microsoft.com/office/drawing/2014/main" id="{DF226702-80D9-4E67-95D7-F268BBE1AE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58371" name="Option Button 3" hidden="1">
              <a:extLst>
                <a:ext uri="{63B3BB69-23CF-44E3-9099-C40C66FF867C}">
                  <a14:compatExt spid="_x0000_s58371"/>
                </a:ext>
                <a:ext uri="{FF2B5EF4-FFF2-40B4-BE49-F238E27FC236}">
                  <a16:creationId xmlns:a16="http://schemas.microsoft.com/office/drawing/2014/main" id="{94EE10D6-E855-4E70-98D0-E0E4F18A75E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B590F018-7685-48F3-9A48-9B50B3A9A12D}"/>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70606C5E-5820-457E-AB73-A09672B3959A}"/>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8FB7C863-5D5D-4CE8-8EF4-52F74590C50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4DF00059-12F5-46AB-955D-F5D892635968}"/>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59393" name="Option Button 1" hidden="1">
              <a:extLst>
                <a:ext uri="{63B3BB69-23CF-44E3-9099-C40C66FF867C}">
                  <a14:compatExt spid="_x0000_s59393"/>
                </a:ext>
                <a:ext uri="{FF2B5EF4-FFF2-40B4-BE49-F238E27FC236}">
                  <a16:creationId xmlns:a16="http://schemas.microsoft.com/office/drawing/2014/main" id="{0AC9F2FE-4365-4954-9B71-ED1B08A0AE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59394" name="Option Button 2" hidden="1">
              <a:extLst>
                <a:ext uri="{63B3BB69-23CF-44E3-9099-C40C66FF867C}">
                  <a14:compatExt spid="_x0000_s59394"/>
                </a:ext>
                <a:ext uri="{FF2B5EF4-FFF2-40B4-BE49-F238E27FC236}">
                  <a16:creationId xmlns:a16="http://schemas.microsoft.com/office/drawing/2014/main" id="{89CB9AC0-CBF6-43A4-BCBE-7F1BE982F1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59395" name="Option Button 3" hidden="1">
              <a:extLst>
                <a:ext uri="{63B3BB69-23CF-44E3-9099-C40C66FF867C}">
                  <a14:compatExt spid="_x0000_s59395"/>
                </a:ext>
                <a:ext uri="{FF2B5EF4-FFF2-40B4-BE49-F238E27FC236}">
                  <a16:creationId xmlns:a16="http://schemas.microsoft.com/office/drawing/2014/main" id="{63B791A7-D6D5-4BCC-8261-8D7331AD60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AF22AC1E-F44A-4218-B0DA-473348278A25}"/>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EBA8730E-7AB1-4FAA-ADE0-4719C74D8804}"/>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BE11E9C5-268B-4745-9BC2-58A1ABAF167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B977120E-DB76-400D-A94E-A2F22C971BBA}"/>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0417" name="Option Button 1" hidden="1">
              <a:extLst>
                <a:ext uri="{63B3BB69-23CF-44E3-9099-C40C66FF867C}">
                  <a14:compatExt spid="_x0000_s60417"/>
                </a:ext>
                <a:ext uri="{FF2B5EF4-FFF2-40B4-BE49-F238E27FC236}">
                  <a16:creationId xmlns:a16="http://schemas.microsoft.com/office/drawing/2014/main" id="{54488237-04A4-4500-B31B-293AED79A4C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0418" name="Option Button 2" hidden="1">
              <a:extLst>
                <a:ext uri="{63B3BB69-23CF-44E3-9099-C40C66FF867C}">
                  <a14:compatExt spid="_x0000_s60418"/>
                </a:ext>
                <a:ext uri="{FF2B5EF4-FFF2-40B4-BE49-F238E27FC236}">
                  <a16:creationId xmlns:a16="http://schemas.microsoft.com/office/drawing/2014/main" id="{6845FDF2-4CF1-4D30-807E-3C18D5484F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0419" name="Option Button 3" hidden="1">
              <a:extLst>
                <a:ext uri="{63B3BB69-23CF-44E3-9099-C40C66FF867C}">
                  <a14:compatExt spid="_x0000_s60419"/>
                </a:ext>
                <a:ext uri="{FF2B5EF4-FFF2-40B4-BE49-F238E27FC236}">
                  <a16:creationId xmlns:a16="http://schemas.microsoft.com/office/drawing/2014/main" id="{E2453A9F-4616-45CB-980D-B628E483F8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185850F7-F933-4005-892F-0668818D8648}"/>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E72E9810-E201-453A-9AEF-8630FAC9CCDD}"/>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F4C0182B-9685-4CBD-BF4C-BBE924D9E8E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C48C1692-C687-40E6-A833-4CEA3A3EE5D4}"/>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1441" name="Option Button 1" hidden="1">
              <a:extLst>
                <a:ext uri="{63B3BB69-23CF-44E3-9099-C40C66FF867C}">
                  <a14:compatExt spid="_x0000_s61441"/>
                </a:ext>
                <a:ext uri="{FF2B5EF4-FFF2-40B4-BE49-F238E27FC236}">
                  <a16:creationId xmlns:a16="http://schemas.microsoft.com/office/drawing/2014/main" id="{37277F25-92D9-41B0-94A9-C9E1C484F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1442" name="Option Button 2" hidden="1">
              <a:extLst>
                <a:ext uri="{63B3BB69-23CF-44E3-9099-C40C66FF867C}">
                  <a14:compatExt spid="_x0000_s61442"/>
                </a:ext>
                <a:ext uri="{FF2B5EF4-FFF2-40B4-BE49-F238E27FC236}">
                  <a16:creationId xmlns:a16="http://schemas.microsoft.com/office/drawing/2014/main" id="{24FFD83E-AD4E-41DD-9AD5-52838ABD296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1443" name="Option Button 3" hidden="1">
              <a:extLst>
                <a:ext uri="{63B3BB69-23CF-44E3-9099-C40C66FF867C}">
                  <a14:compatExt spid="_x0000_s61443"/>
                </a:ext>
                <a:ext uri="{FF2B5EF4-FFF2-40B4-BE49-F238E27FC236}">
                  <a16:creationId xmlns:a16="http://schemas.microsoft.com/office/drawing/2014/main" id="{BDBE256C-8CD4-459F-8853-1CF254D84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C818BAF5-B423-463D-AC52-A5E07994EB40}"/>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E0C06601-5703-49A5-9484-1A72DA69D33B}"/>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09089CEE-F2BE-4370-8E45-AACCA97642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9FB57E6E-1583-45D4-80E7-FD0E3141A236}"/>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2465" name="Option Button 1" hidden="1">
              <a:extLst>
                <a:ext uri="{63B3BB69-23CF-44E3-9099-C40C66FF867C}">
                  <a14:compatExt spid="_x0000_s62465"/>
                </a:ext>
                <a:ext uri="{FF2B5EF4-FFF2-40B4-BE49-F238E27FC236}">
                  <a16:creationId xmlns:a16="http://schemas.microsoft.com/office/drawing/2014/main" id="{B8E7A0C1-5AD2-4E96-A493-3BCED93F5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2466" name="Option Button 2" hidden="1">
              <a:extLst>
                <a:ext uri="{63B3BB69-23CF-44E3-9099-C40C66FF867C}">
                  <a14:compatExt spid="_x0000_s62466"/>
                </a:ext>
                <a:ext uri="{FF2B5EF4-FFF2-40B4-BE49-F238E27FC236}">
                  <a16:creationId xmlns:a16="http://schemas.microsoft.com/office/drawing/2014/main" id="{767B177B-6662-4CDB-9089-0FE31809F9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2467" name="Option Button 3" hidden="1">
              <a:extLst>
                <a:ext uri="{63B3BB69-23CF-44E3-9099-C40C66FF867C}">
                  <a14:compatExt spid="_x0000_s62467"/>
                </a:ext>
                <a:ext uri="{FF2B5EF4-FFF2-40B4-BE49-F238E27FC236}">
                  <a16:creationId xmlns:a16="http://schemas.microsoft.com/office/drawing/2014/main" id="{065C1AE8-2322-42FE-A6C7-4BE78DFA2C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29C07449-9C60-40EA-B92D-5BEF26BC135C}"/>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9BAA39AD-6E32-43EE-9F42-D93BF66EB93E}"/>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4705502F-596B-4673-AC1D-BE16A388C8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3CF06B35-3658-4747-9067-E2FAB951FF3E}"/>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3489" name="Option Button 1" hidden="1">
              <a:extLst>
                <a:ext uri="{63B3BB69-23CF-44E3-9099-C40C66FF867C}">
                  <a14:compatExt spid="_x0000_s63489"/>
                </a:ext>
                <a:ext uri="{FF2B5EF4-FFF2-40B4-BE49-F238E27FC236}">
                  <a16:creationId xmlns:a16="http://schemas.microsoft.com/office/drawing/2014/main" id="{A87E2E03-5B51-48FF-9E01-7B2FD78CD5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3490" name="Option Button 2" hidden="1">
              <a:extLst>
                <a:ext uri="{63B3BB69-23CF-44E3-9099-C40C66FF867C}">
                  <a14:compatExt spid="_x0000_s63490"/>
                </a:ext>
                <a:ext uri="{FF2B5EF4-FFF2-40B4-BE49-F238E27FC236}">
                  <a16:creationId xmlns:a16="http://schemas.microsoft.com/office/drawing/2014/main" id="{0DAA272B-D4F4-4C04-8FB9-021D721E5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3491" name="Option Button 3" hidden="1">
              <a:extLst>
                <a:ext uri="{63B3BB69-23CF-44E3-9099-C40C66FF867C}">
                  <a14:compatExt spid="_x0000_s63491"/>
                </a:ext>
                <a:ext uri="{FF2B5EF4-FFF2-40B4-BE49-F238E27FC236}">
                  <a16:creationId xmlns:a16="http://schemas.microsoft.com/office/drawing/2014/main" id="{1A98050A-508A-458E-8191-98D6B10E51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B0A41EB8-5BD5-427B-8DBF-FE6AE5D1FC01}"/>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9FD32469-77EF-4A17-A9D9-75A6968D20CB}"/>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B302D7E6-B3B0-43CD-95BC-ACA1A43939B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EEF1535D-025D-4D61-A0BF-BEDE3C9BAABC}"/>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4513" name="Option Button 1" hidden="1">
              <a:extLst>
                <a:ext uri="{63B3BB69-23CF-44E3-9099-C40C66FF867C}">
                  <a14:compatExt spid="_x0000_s64513"/>
                </a:ext>
                <a:ext uri="{FF2B5EF4-FFF2-40B4-BE49-F238E27FC236}">
                  <a16:creationId xmlns:a16="http://schemas.microsoft.com/office/drawing/2014/main" id="{FF9F8096-7756-4BD8-B574-4F5D817AF06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4514" name="Option Button 2" hidden="1">
              <a:extLst>
                <a:ext uri="{63B3BB69-23CF-44E3-9099-C40C66FF867C}">
                  <a14:compatExt spid="_x0000_s64514"/>
                </a:ext>
                <a:ext uri="{FF2B5EF4-FFF2-40B4-BE49-F238E27FC236}">
                  <a16:creationId xmlns:a16="http://schemas.microsoft.com/office/drawing/2014/main" id="{BA7109A3-5F5A-41C2-9810-FFCA4A6F8EB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4515" name="Option Button 3" hidden="1">
              <a:extLst>
                <a:ext uri="{63B3BB69-23CF-44E3-9099-C40C66FF867C}">
                  <a14:compatExt spid="_x0000_s64515"/>
                </a:ext>
                <a:ext uri="{FF2B5EF4-FFF2-40B4-BE49-F238E27FC236}">
                  <a16:creationId xmlns:a16="http://schemas.microsoft.com/office/drawing/2014/main" id="{BC41EF13-208C-4FBB-827E-85293085ED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24A9CF4F-EC74-43DB-BA51-C298E717ECF9}"/>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D4A96ED4-43AE-49BD-BCE2-DFB2621DA7B1}"/>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316631FC-B963-4AFA-89C5-CBD5B23C6F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801B919B-0017-4020-A0B4-B043FB53E3BF}"/>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5537" name="Option Button 1" hidden="1">
              <a:extLst>
                <a:ext uri="{63B3BB69-23CF-44E3-9099-C40C66FF867C}">
                  <a14:compatExt spid="_x0000_s65537"/>
                </a:ext>
                <a:ext uri="{FF2B5EF4-FFF2-40B4-BE49-F238E27FC236}">
                  <a16:creationId xmlns:a16="http://schemas.microsoft.com/office/drawing/2014/main" id="{24ED3EFA-03CA-4A59-A4F1-B80FA9D479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5538" name="Option Button 2" hidden="1">
              <a:extLst>
                <a:ext uri="{63B3BB69-23CF-44E3-9099-C40C66FF867C}">
                  <a14:compatExt spid="_x0000_s65538"/>
                </a:ext>
                <a:ext uri="{FF2B5EF4-FFF2-40B4-BE49-F238E27FC236}">
                  <a16:creationId xmlns:a16="http://schemas.microsoft.com/office/drawing/2014/main" id="{BDF66E1C-6E2A-4925-92EC-D25ABE58191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5539" name="Option Button 3" hidden="1">
              <a:extLst>
                <a:ext uri="{63B3BB69-23CF-44E3-9099-C40C66FF867C}">
                  <a14:compatExt spid="_x0000_s65539"/>
                </a:ext>
                <a:ext uri="{FF2B5EF4-FFF2-40B4-BE49-F238E27FC236}">
                  <a16:creationId xmlns:a16="http://schemas.microsoft.com/office/drawing/2014/main" id="{83972396-54BA-4ABA-AE8F-E2278E10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F8348F1E-D9D2-4975-80F3-BE6EBD67B3D8}"/>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4B6AFCA3-E6D1-4E7F-8347-18062850EEB9}"/>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35EFDCE6-8E4F-4611-A05B-5675D9B9F7C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2C6B2D11-85A5-4C21-950F-794CA693EE00}"/>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6561" name="Option Button 1" hidden="1">
              <a:extLst>
                <a:ext uri="{63B3BB69-23CF-44E3-9099-C40C66FF867C}">
                  <a14:compatExt spid="_x0000_s66561"/>
                </a:ext>
                <a:ext uri="{FF2B5EF4-FFF2-40B4-BE49-F238E27FC236}">
                  <a16:creationId xmlns:a16="http://schemas.microsoft.com/office/drawing/2014/main" id="{1B41C79B-DE81-4F05-AFDC-3DC22EB276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6562" name="Option Button 2" hidden="1">
              <a:extLst>
                <a:ext uri="{63B3BB69-23CF-44E3-9099-C40C66FF867C}">
                  <a14:compatExt spid="_x0000_s66562"/>
                </a:ext>
                <a:ext uri="{FF2B5EF4-FFF2-40B4-BE49-F238E27FC236}">
                  <a16:creationId xmlns:a16="http://schemas.microsoft.com/office/drawing/2014/main" id="{097F98A8-C622-4F8E-9E47-DC0D574A99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6563" name="Option Button 3" hidden="1">
              <a:extLst>
                <a:ext uri="{63B3BB69-23CF-44E3-9099-C40C66FF867C}">
                  <a14:compatExt spid="_x0000_s66563"/>
                </a:ext>
                <a:ext uri="{FF2B5EF4-FFF2-40B4-BE49-F238E27FC236}">
                  <a16:creationId xmlns:a16="http://schemas.microsoft.com/office/drawing/2014/main" id="{5B3328B8-6ACB-4106-8894-CF04852154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D26DB423-F8C4-4DBF-B24E-1772CBE4E57E}"/>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17D246D3-8C8D-4FCB-B277-D5DE9A5503D3}"/>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B46A6ABB-0D59-4D3A-979A-C7353848FF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8C7E0C37-9450-474F-AF69-553182C14EB0}"/>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7585" name="Option Button 1" hidden="1">
              <a:extLst>
                <a:ext uri="{63B3BB69-23CF-44E3-9099-C40C66FF867C}">
                  <a14:compatExt spid="_x0000_s67585"/>
                </a:ext>
                <a:ext uri="{FF2B5EF4-FFF2-40B4-BE49-F238E27FC236}">
                  <a16:creationId xmlns:a16="http://schemas.microsoft.com/office/drawing/2014/main" id="{7022CBCF-2A15-42F3-98A2-4DC23D1D6D7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7586" name="Option Button 2" hidden="1">
              <a:extLst>
                <a:ext uri="{63B3BB69-23CF-44E3-9099-C40C66FF867C}">
                  <a14:compatExt spid="_x0000_s67586"/>
                </a:ext>
                <a:ext uri="{FF2B5EF4-FFF2-40B4-BE49-F238E27FC236}">
                  <a16:creationId xmlns:a16="http://schemas.microsoft.com/office/drawing/2014/main" id="{B4CE36DF-5137-4A63-A729-DFCF4ED218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7587" name="Option Button 3" hidden="1">
              <a:extLst>
                <a:ext uri="{63B3BB69-23CF-44E3-9099-C40C66FF867C}">
                  <a14:compatExt spid="_x0000_s67587"/>
                </a:ext>
                <a:ext uri="{FF2B5EF4-FFF2-40B4-BE49-F238E27FC236}">
                  <a16:creationId xmlns:a16="http://schemas.microsoft.com/office/drawing/2014/main" id="{2785C9A8-FA6C-442C-B604-B61CFA548A1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A7EE136F-C463-4D00-AFA4-31784E6FFC70}"/>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34941F0C-AED1-4965-9561-9FF5D506D346}"/>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B4D1AB5A-489B-4233-858F-C0689D6496C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E6AD2715-66F0-41A8-BBF8-2672333AB7AF}"/>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8609" name="Option Button 1" hidden="1">
              <a:extLst>
                <a:ext uri="{63B3BB69-23CF-44E3-9099-C40C66FF867C}">
                  <a14:compatExt spid="_x0000_s68609"/>
                </a:ext>
                <a:ext uri="{FF2B5EF4-FFF2-40B4-BE49-F238E27FC236}">
                  <a16:creationId xmlns:a16="http://schemas.microsoft.com/office/drawing/2014/main" id="{C3771C59-5237-4785-A50C-610F239CFF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8610" name="Option Button 2" hidden="1">
              <a:extLst>
                <a:ext uri="{63B3BB69-23CF-44E3-9099-C40C66FF867C}">
                  <a14:compatExt spid="_x0000_s68610"/>
                </a:ext>
                <a:ext uri="{FF2B5EF4-FFF2-40B4-BE49-F238E27FC236}">
                  <a16:creationId xmlns:a16="http://schemas.microsoft.com/office/drawing/2014/main" id="{74228CFD-9E97-44AF-A14F-B53037C34A5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8611" name="Option Button 3" hidden="1">
              <a:extLst>
                <a:ext uri="{63B3BB69-23CF-44E3-9099-C40C66FF867C}">
                  <a14:compatExt spid="_x0000_s68611"/>
                </a:ext>
                <a:ext uri="{FF2B5EF4-FFF2-40B4-BE49-F238E27FC236}">
                  <a16:creationId xmlns:a16="http://schemas.microsoft.com/office/drawing/2014/main" id="{CEB04446-C4C7-4126-AF87-121F19B7699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3EAE9FE5-0A4A-4DEB-BA8B-7363724EBAFF}"/>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71308D89-D423-4C12-BDEB-E82210297173}"/>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238A69F3-4E48-4766-869A-52134D526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C24AFAAD-AA0A-467E-9BD7-17CDD829E6D3}"/>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69633" name="Option Button 1" hidden="1">
              <a:extLst>
                <a:ext uri="{63B3BB69-23CF-44E3-9099-C40C66FF867C}">
                  <a14:compatExt spid="_x0000_s69633"/>
                </a:ext>
                <a:ext uri="{FF2B5EF4-FFF2-40B4-BE49-F238E27FC236}">
                  <a16:creationId xmlns:a16="http://schemas.microsoft.com/office/drawing/2014/main" id="{ED871823-E27C-455A-801C-DBF89A4EEDA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69634" name="Option Button 2" hidden="1">
              <a:extLst>
                <a:ext uri="{63B3BB69-23CF-44E3-9099-C40C66FF867C}">
                  <a14:compatExt spid="_x0000_s69634"/>
                </a:ext>
                <a:ext uri="{FF2B5EF4-FFF2-40B4-BE49-F238E27FC236}">
                  <a16:creationId xmlns:a16="http://schemas.microsoft.com/office/drawing/2014/main" id="{57B2AABB-5749-43CC-881D-2BCBF11292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69635" name="Option Button 3" hidden="1">
              <a:extLst>
                <a:ext uri="{63B3BB69-23CF-44E3-9099-C40C66FF867C}">
                  <a14:compatExt spid="_x0000_s69635"/>
                </a:ext>
                <a:ext uri="{FF2B5EF4-FFF2-40B4-BE49-F238E27FC236}">
                  <a16:creationId xmlns:a16="http://schemas.microsoft.com/office/drawing/2014/main" id="{DFD3692A-30E8-4ABE-A35D-0C15A7C5831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4CBC3241-349E-4740-83FB-89087361D597}"/>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56F66EF0-C55F-4568-A7B5-4D27A4079F03}"/>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1D6D29C1-BB93-47E3-9872-EFF90789C8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34CFC9FA-064E-4B09-B1BE-180A494306AB}"/>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0657" name="Option Button 1" hidden="1">
              <a:extLst>
                <a:ext uri="{63B3BB69-23CF-44E3-9099-C40C66FF867C}">
                  <a14:compatExt spid="_x0000_s70657"/>
                </a:ext>
                <a:ext uri="{FF2B5EF4-FFF2-40B4-BE49-F238E27FC236}">
                  <a16:creationId xmlns:a16="http://schemas.microsoft.com/office/drawing/2014/main" id="{DE395FB4-92EE-4ED6-B834-24AFDEA745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0658" name="Option Button 2" hidden="1">
              <a:extLst>
                <a:ext uri="{63B3BB69-23CF-44E3-9099-C40C66FF867C}">
                  <a14:compatExt spid="_x0000_s70658"/>
                </a:ext>
                <a:ext uri="{FF2B5EF4-FFF2-40B4-BE49-F238E27FC236}">
                  <a16:creationId xmlns:a16="http://schemas.microsoft.com/office/drawing/2014/main" id="{8C433162-295B-40F8-BD64-F1A0B46E020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0659" name="Option Button 3" hidden="1">
              <a:extLst>
                <a:ext uri="{63B3BB69-23CF-44E3-9099-C40C66FF867C}">
                  <a14:compatExt spid="_x0000_s70659"/>
                </a:ext>
                <a:ext uri="{FF2B5EF4-FFF2-40B4-BE49-F238E27FC236}">
                  <a16:creationId xmlns:a16="http://schemas.microsoft.com/office/drawing/2014/main" id="{8390A98B-D702-4AA8-91FC-3948C04216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4157DC8F-D5F4-49BB-B390-F3BB1EFEADE1}"/>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8AAF1EF4-BE26-4659-B0B9-EA870170C5B3}"/>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CE3592C1-9277-4F97-8731-248ACF6FFD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D4809DA9-5ABE-4B63-955B-F4BA8AE69BAB}"/>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1681" name="Option Button 1" hidden="1">
              <a:extLst>
                <a:ext uri="{63B3BB69-23CF-44E3-9099-C40C66FF867C}">
                  <a14:compatExt spid="_x0000_s71681"/>
                </a:ext>
                <a:ext uri="{FF2B5EF4-FFF2-40B4-BE49-F238E27FC236}">
                  <a16:creationId xmlns:a16="http://schemas.microsoft.com/office/drawing/2014/main" id="{3D297D13-A1AC-428F-930B-25A6BBB1C4D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1682" name="Option Button 2" hidden="1">
              <a:extLst>
                <a:ext uri="{63B3BB69-23CF-44E3-9099-C40C66FF867C}">
                  <a14:compatExt spid="_x0000_s71682"/>
                </a:ext>
                <a:ext uri="{FF2B5EF4-FFF2-40B4-BE49-F238E27FC236}">
                  <a16:creationId xmlns:a16="http://schemas.microsoft.com/office/drawing/2014/main" id="{941CADF0-2B4F-4F19-A2D5-DBBB925D9BC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1683" name="Option Button 3" hidden="1">
              <a:extLst>
                <a:ext uri="{63B3BB69-23CF-44E3-9099-C40C66FF867C}">
                  <a14:compatExt spid="_x0000_s71683"/>
                </a:ext>
                <a:ext uri="{FF2B5EF4-FFF2-40B4-BE49-F238E27FC236}">
                  <a16:creationId xmlns:a16="http://schemas.microsoft.com/office/drawing/2014/main" id="{52188B7F-C4BC-48EB-BAA2-B82F6C59EC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2ACFA2AE-4431-4109-A3BC-4AC133163BB8}"/>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3474A733-D39A-4088-AD89-AA02168BBEF9}"/>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522511F1-F786-405A-8380-3174EFE977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C4C74C88-FFEC-4944-9261-0FC6A7C65276}"/>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2705" name="Option Button 1" hidden="1">
              <a:extLst>
                <a:ext uri="{63B3BB69-23CF-44E3-9099-C40C66FF867C}">
                  <a14:compatExt spid="_x0000_s72705"/>
                </a:ext>
                <a:ext uri="{FF2B5EF4-FFF2-40B4-BE49-F238E27FC236}">
                  <a16:creationId xmlns:a16="http://schemas.microsoft.com/office/drawing/2014/main" id="{496E0D2C-858E-4EF0-972F-C7EDC19CCA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2706" name="Option Button 2" hidden="1">
              <a:extLst>
                <a:ext uri="{63B3BB69-23CF-44E3-9099-C40C66FF867C}">
                  <a14:compatExt spid="_x0000_s72706"/>
                </a:ext>
                <a:ext uri="{FF2B5EF4-FFF2-40B4-BE49-F238E27FC236}">
                  <a16:creationId xmlns:a16="http://schemas.microsoft.com/office/drawing/2014/main" id="{2579EFB7-D2E8-4FC0-93B1-EE0167F4B3F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2707" name="Option Button 3" hidden="1">
              <a:extLst>
                <a:ext uri="{63B3BB69-23CF-44E3-9099-C40C66FF867C}">
                  <a14:compatExt spid="_x0000_s72707"/>
                </a:ext>
                <a:ext uri="{FF2B5EF4-FFF2-40B4-BE49-F238E27FC236}">
                  <a16:creationId xmlns:a16="http://schemas.microsoft.com/office/drawing/2014/main" id="{E933ED2A-AB1F-49A4-91F5-1823476AEB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2ECEEDEE-A961-44E9-85D3-DD0022AA63C6}"/>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211C3220-674C-4DAE-B5DA-279E56618F36}"/>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59E487D2-5E1F-4B24-AD17-90208DD7A2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C526035D-AE72-4428-8A3F-539A9A8FC872}"/>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3729" name="Option Button 1" hidden="1">
              <a:extLst>
                <a:ext uri="{63B3BB69-23CF-44E3-9099-C40C66FF867C}">
                  <a14:compatExt spid="_x0000_s73729"/>
                </a:ext>
                <a:ext uri="{FF2B5EF4-FFF2-40B4-BE49-F238E27FC236}">
                  <a16:creationId xmlns:a16="http://schemas.microsoft.com/office/drawing/2014/main" id="{BE6100ED-C288-4611-B366-E14FAA60407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3730" name="Option Button 2" hidden="1">
              <a:extLst>
                <a:ext uri="{63B3BB69-23CF-44E3-9099-C40C66FF867C}">
                  <a14:compatExt spid="_x0000_s73730"/>
                </a:ext>
                <a:ext uri="{FF2B5EF4-FFF2-40B4-BE49-F238E27FC236}">
                  <a16:creationId xmlns:a16="http://schemas.microsoft.com/office/drawing/2014/main" id="{B5452946-FB5D-4376-AAC6-02F4E77C029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3731" name="Option Button 3" hidden="1">
              <a:extLst>
                <a:ext uri="{63B3BB69-23CF-44E3-9099-C40C66FF867C}">
                  <a14:compatExt spid="_x0000_s73731"/>
                </a:ext>
                <a:ext uri="{FF2B5EF4-FFF2-40B4-BE49-F238E27FC236}">
                  <a16:creationId xmlns:a16="http://schemas.microsoft.com/office/drawing/2014/main" id="{F0534021-FA5A-41CA-A741-8C0ED721BE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D2270497-9318-4DFB-B0E0-6E917086C3B0}"/>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F122FD69-7E2A-462A-A317-44DB218E9A68}"/>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EB233980-5946-427D-85BE-985362DA5D2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4C2ECC5D-A2E6-4544-969E-957FF933691A}"/>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4753" name="Option Button 1" hidden="1">
              <a:extLst>
                <a:ext uri="{63B3BB69-23CF-44E3-9099-C40C66FF867C}">
                  <a14:compatExt spid="_x0000_s74753"/>
                </a:ext>
                <a:ext uri="{FF2B5EF4-FFF2-40B4-BE49-F238E27FC236}">
                  <a16:creationId xmlns:a16="http://schemas.microsoft.com/office/drawing/2014/main" id="{726A60AC-8856-43B0-B329-9ACCB74A8BE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4754" name="Option Button 2" hidden="1">
              <a:extLst>
                <a:ext uri="{63B3BB69-23CF-44E3-9099-C40C66FF867C}">
                  <a14:compatExt spid="_x0000_s74754"/>
                </a:ext>
                <a:ext uri="{FF2B5EF4-FFF2-40B4-BE49-F238E27FC236}">
                  <a16:creationId xmlns:a16="http://schemas.microsoft.com/office/drawing/2014/main" id="{7E6B2944-9DBA-4867-B955-2E89D2EE7EC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4755" name="Option Button 3" hidden="1">
              <a:extLst>
                <a:ext uri="{63B3BB69-23CF-44E3-9099-C40C66FF867C}">
                  <a14:compatExt spid="_x0000_s74755"/>
                </a:ext>
                <a:ext uri="{FF2B5EF4-FFF2-40B4-BE49-F238E27FC236}">
                  <a16:creationId xmlns:a16="http://schemas.microsoft.com/office/drawing/2014/main" id="{F4C47B81-F703-4088-8633-812E84B2E12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AC2EA4F3-BB85-4820-A65B-C9CC1209C4BE}"/>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35802</xdr:colOff>
      <xdr:row>65</xdr:row>
      <xdr:rowOff>163287</xdr:rowOff>
    </xdr:from>
    <xdr:to>
      <xdr:col>12</xdr:col>
      <xdr:colOff>42183</xdr:colOff>
      <xdr:row>70</xdr:row>
      <xdr:rowOff>97972</xdr:rowOff>
    </xdr:to>
    <xdr:sp macro="" textlink="">
      <xdr:nvSpPr>
        <xdr:cNvPr id="2" name="TextBox 1">
          <a:extLst>
            <a:ext uri="{FF2B5EF4-FFF2-40B4-BE49-F238E27FC236}">
              <a16:creationId xmlns:a16="http://schemas.microsoft.com/office/drawing/2014/main" id="{B5E1E0E1-E111-4785-9EFE-307F020D9495}"/>
            </a:ext>
          </a:extLst>
        </xdr:cNvPr>
        <xdr:cNvSpPr txBox="1">
          <a:spLocks noChangeAspect="1"/>
        </xdr:cNvSpPr>
      </xdr:nvSpPr>
      <xdr:spPr>
        <a:xfrm>
          <a:off x="693027" y="13793562"/>
          <a:ext cx="12703206" cy="934810"/>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Post-frac</a:t>
          </a:r>
          <a:r>
            <a:rPr lang="en-US" sz="1100" b="1" baseline="0"/>
            <a:t> Pulse Notes:</a:t>
          </a:r>
        </a:p>
        <a:p>
          <a:endParaRPr lang="en-US" sz="1100" baseline="0"/>
        </a:p>
      </xdr:txBody>
    </xdr:sp>
    <xdr:clientData/>
  </xdr:twoCellAnchor>
  <xdr:twoCellAnchor editAs="oneCell">
    <xdr:from>
      <xdr:col>1</xdr:col>
      <xdr:colOff>19050</xdr:colOff>
      <xdr:row>2</xdr:row>
      <xdr:rowOff>114300</xdr:rowOff>
    </xdr:from>
    <xdr:to>
      <xdr:col>3</xdr:col>
      <xdr:colOff>158196</xdr:colOff>
      <xdr:row>4</xdr:row>
      <xdr:rowOff>201804</xdr:rowOff>
    </xdr:to>
    <xdr:pic>
      <xdr:nvPicPr>
        <xdr:cNvPr id="3" name="Picture 2">
          <a:extLst>
            <a:ext uri="{FF2B5EF4-FFF2-40B4-BE49-F238E27FC236}">
              <a16:creationId xmlns:a16="http://schemas.microsoft.com/office/drawing/2014/main" id="{F9641311-DA9D-4FCE-852E-06E8E572A39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6275" y="561975"/>
          <a:ext cx="2158446" cy="563754"/>
        </a:xfrm>
        <a:prstGeom prst="rect">
          <a:avLst/>
        </a:prstGeom>
      </xdr:spPr>
    </xdr:pic>
    <xdr:clientData/>
  </xdr:twoCellAnchor>
  <xdr:twoCellAnchor>
    <xdr:from>
      <xdr:col>1</xdr:col>
      <xdr:colOff>21772</xdr:colOff>
      <xdr:row>59</xdr:row>
      <xdr:rowOff>65316</xdr:rowOff>
    </xdr:from>
    <xdr:to>
      <xdr:col>12</xdr:col>
      <xdr:colOff>31297</xdr:colOff>
      <xdr:row>63</xdr:row>
      <xdr:rowOff>185058</xdr:rowOff>
    </xdr:to>
    <xdr:sp macro="" textlink="">
      <xdr:nvSpPr>
        <xdr:cNvPr id="4" name="TextBox 3">
          <a:extLst>
            <a:ext uri="{FF2B5EF4-FFF2-40B4-BE49-F238E27FC236}">
              <a16:creationId xmlns:a16="http://schemas.microsoft.com/office/drawing/2014/main" id="{07FF6C20-075B-46F8-9726-B17E8C787FBF}"/>
            </a:ext>
          </a:extLst>
        </xdr:cNvPr>
        <xdr:cNvSpPr txBox="1">
          <a:spLocks noChangeAspect="1"/>
        </xdr:cNvSpPr>
      </xdr:nvSpPr>
      <xdr:spPr>
        <a:xfrm>
          <a:off x="678997" y="12495441"/>
          <a:ext cx="12706350" cy="919842"/>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Pre-frac Pulse Notes</a:t>
          </a:r>
          <a:r>
            <a:rPr lang="en-US" sz="1100" b="1" baseline="0"/>
            <a:t>:</a:t>
          </a:r>
        </a:p>
        <a:p>
          <a:endParaRPr lang="en-US" sz="1100" b="1" baseline="0"/>
        </a:p>
        <a:p>
          <a:endParaRPr lang="en-US" sz="1100" b="1" baseline="0"/>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27</xdr:row>
          <xdr:rowOff>190500</xdr:rowOff>
        </xdr:from>
        <xdr:to>
          <xdr:col>6</xdr:col>
          <xdr:colOff>295275</xdr:colOff>
          <xdr:row>28</xdr:row>
          <xdr:rowOff>200025</xdr:rowOff>
        </xdr:to>
        <xdr:sp macro="" textlink="">
          <xdr:nvSpPr>
            <xdr:cNvPr id="75777" name="Option Button 1" hidden="1">
              <a:extLst>
                <a:ext uri="{63B3BB69-23CF-44E3-9099-C40C66FF867C}">
                  <a14:compatExt spid="_x0000_s75777"/>
                </a:ext>
                <a:ext uri="{FF2B5EF4-FFF2-40B4-BE49-F238E27FC236}">
                  <a16:creationId xmlns:a16="http://schemas.microsoft.com/office/drawing/2014/main" id="{99CA9E8E-0D91-4442-A454-72E3EF212DE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200025</xdr:rowOff>
        </xdr:from>
        <xdr:to>
          <xdr:col>6</xdr:col>
          <xdr:colOff>276225</xdr:colOff>
          <xdr:row>34</xdr:row>
          <xdr:rowOff>0</xdr:rowOff>
        </xdr:to>
        <xdr:sp macro="" textlink="">
          <xdr:nvSpPr>
            <xdr:cNvPr id="75778" name="Option Button 2" hidden="1">
              <a:extLst>
                <a:ext uri="{63B3BB69-23CF-44E3-9099-C40C66FF867C}">
                  <a14:compatExt spid="_x0000_s75778"/>
                </a:ext>
                <a:ext uri="{FF2B5EF4-FFF2-40B4-BE49-F238E27FC236}">
                  <a16:creationId xmlns:a16="http://schemas.microsoft.com/office/drawing/2014/main" id="{BB1701F6-4022-43BC-BEB4-FB08810A3B4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38</xdr:row>
          <xdr:rowOff>0</xdr:rowOff>
        </xdr:from>
        <xdr:to>
          <xdr:col>6</xdr:col>
          <xdr:colOff>257175</xdr:colOff>
          <xdr:row>39</xdr:row>
          <xdr:rowOff>9525</xdr:rowOff>
        </xdr:to>
        <xdr:sp macro="" textlink="">
          <xdr:nvSpPr>
            <xdr:cNvPr id="75779" name="Option Button 3" hidden="1">
              <a:extLst>
                <a:ext uri="{63B3BB69-23CF-44E3-9099-C40C66FF867C}">
                  <a14:compatExt spid="_x0000_s75779"/>
                </a:ext>
                <a:ext uri="{FF2B5EF4-FFF2-40B4-BE49-F238E27FC236}">
                  <a16:creationId xmlns:a16="http://schemas.microsoft.com/office/drawing/2014/main" id="{8C5AD1E7-B29C-486D-A224-97A52E483FB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0</xdr:colOff>
      <xdr:row>72</xdr:row>
      <xdr:rowOff>0</xdr:rowOff>
    </xdr:from>
    <xdr:to>
      <xdr:col>12</xdr:col>
      <xdr:colOff>6381</xdr:colOff>
      <xdr:row>76</xdr:row>
      <xdr:rowOff>130628</xdr:rowOff>
    </xdr:to>
    <xdr:sp macro="" textlink="">
      <xdr:nvSpPr>
        <xdr:cNvPr id="8" name="TextBox 7">
          <a:extLst>
            <a:ext uri="{FF2B5EF4-FFF2-40B4-BE49-F238E27FC236}">
              <a16:creationId xmlns:a16="http://schemas.microsoft.com/office/drawing/2014/main" id="{1CF0A0A3-CD4D-46FD-8378-9EDC4E159573}"/>
            </a:ext>
          </a:extLst>
        </xdr:cNvPr>
        <xdr:cNvSpPr txBox="1">
          <a:spLocks noChangeAspect="1"/>
        </xdr:cNvSpPr>
      </xdr:nvSpPr>
      <xdr:spPr>
        <a:xfrm>
          <a:off x="657225" y="15030450"/>
          <a:ext cx="12703206" cy="930728"/>
        </a:xfrm>
        <a:prstGeom prst="rect">
          <a:avLst/>
        </a:prstGeom>
        <a:noFill/>
        <a:ln w="127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 Notes:</a:t>
          </a:r>
        </a:p>
        <a:p>
          <a:endParaRPr lang="en-US" sz="1100" baseline="0"/>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9525</xdr:colOff>
      <xdr:row>1</xdr:row>
      <xdr:rowOff>142875</xdr:rowOff>
    </xdr:from>
    <xdr:to>
      <xdr:col>2</xdr:col>
      <xdr:colOff>1272540</xdr:colOff>
      <xdr:row>5</xdr:row>
      <xdr:rowOff>49404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333375"/>
          <a:ext cx="2148840" cy="563754"/>
        </a:xfrm>
        <a:prstGeom prst="rect">
          <a:avLst/>
        </a:prstGeom>
      </xdr:spPr>
    </xdr:pic>
    <xdr:clientData/>
  </xdr:twoCellAnchor>
  <xdr:oneCellAnchor>
    <xdr:from>
      <xdr:col>1</xdr:col>
      <xdr:colOff>9525</xdr:colOff>
      <xdr:row>62</xdr:row>
      <xdr:rowOff>142875</xdr:rowOff>
    </xdr:from>
    <xdr:ext cx="2148840" cy="563754"/>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15154275"/>
          <a:ext cx="2148840" cy="563754"/>
        </a:xfrm>
        <a:prstGeom prst="rect">
          <a:avLst/>
        </a:prstGeom>
      </xdr:spPr>
    </xdr:pic>
    <xdr:clientData/>
  </xdr:oneCellAnchor>
  <xdr:oneCellAnchor>
    <xdr:from>
      <xdr:col>1</xdr:col>
      <xdr:colOff>9525</xdr:colOff>
      <xdr:row>123</xdr:row>
      <xdr:rowOff>142875</xdr:rowOff>
    </xdr:from>
    <xdr:ext cx="2148840" cy="563754"/>
    <xdr:pic>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30603825"/>
          <a:ext cx="2148840" cy="563754"/>
        </a:xfrm>
        <a:prstGeom prst="rect">
          <a:avLst/>
        </a:prstGeom>
      </xdr:spPr>
    </xdr:pic>
    <xdr:clientData/>
  </xdr:oneCellAnchor>
  <xdr:oneCellAnchor>
    <xdr:from>
      <xdr:col>1</xdr:col>
      <xdr:colOff>9525</xdr:colOff>
      <xdr:row>184</xdr:row>
      <xdr:rowOff>142875</xdr:rowOff>
    </xdr:from>
    <xdr:ext cx="2148840" cy="563754"/>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46024800"/>
          <a:ext cx="2148840" cy="563754"/>
        </a:xfrm>
        <a:prstGeom prst="rect">
          <a:avLst/>
        </a:prstGeom>
      </xdr:spPr>
    </xdr:pic>
    <xdr:clientData/>
  </xdr:oneCellAnchor>
  <xdr:oneCellAnchor>
    <xdr:from>
      <xdr:col>1</xdr:col>
      <xdr:colOff>9525</xdr:colOff>
      <xdr:row>245</xdr:row>
      <xdr:rowOff>142875</xdr:rowOff>
    </xdr:from>
    <xdr:ext cx="2148840" cy="563754"/>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61445775"/>
          <a:ext cx="2148840" cy="563754"/>
        </a:xfrm>
        <a:prstGeom prst="rect">
          <a:avLst/>
        </a:prstGeom>
      </xdr:spPr>
    </xdr:pic>
    <xdr:clientData/>
  </xdr:oneCellAnchor>
  <xdr:oneCellAnchor>
    <xdr:from>
      <xdr:col>1</xdr:col>
      <xdr:colOff>9525</xdr:colOff>
      <xdr:row>306</xdr:row>
      <xdr:rowOff>142875</xdr:rowOff>
    </xdr:from>
    <xdr:ext cx="2148840" cy="563754"/>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76866750"/>
          <a:ext cx="2148840" cy="563754"/>
        </a:xfrm>
        <a:prstGeom prst="rect">
          <a:avLst/>
        </a:prstGeom>
      </xdr:spPr>
    </xdr:pic>
    <xdr:clientData/>
  </xdr:oneCellAnchor>
  <xdr:oneCellAnchor>
    <xdr:from>
      <xdr:col>1</xdr:col>
      <xdr:colOff>9525</xdr:colOff>
      <xdr:row>367</xdr:row>
      <xdr:rowOff>142875</xdr:rowOff>
    </xdr:from>
    <xdr:ext cx="2148840" cy="563754"/>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0550" y="92287725"/>
          <a:ext cx="2148840" cy="56375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nts%20and%20Settings\tclawson\Local%20Settings\Temporary%20Internet%20Files\OLK8B\Drill%20and%20Completing%20Wells\Frac\Shallow%20Wells%20Frac%20Items\EMAIL%20Indian%20Creek%20I%20%233%20Atoka5%20Acid%20Ballout%20(3-1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c1-chi-tx-750\home\JWilkinson\PRICEVR%20August%2015%2020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Cover"/>
      <sheetName val="JobData"/>
      <sheetName val="FluidSpecs"/>
      <sheetName val="Acid2"/>
      <sheetName val="Price"/>
      <sheetName val="Worksheet"/>
    </sheetNames>
    <sheetDataSet>
      <sheetData sheetId="0" refreshError="1"/>
      <sheetData sheetId="1" refreshError="1"/>
      <sheetData sheetId="2"/>
      <sheetData sheetId="3"/>
      <sheetData sheetId="4">
        <row r="1">
          <cell r="A1" t="str">
            <v>Antero Resources</v>
          </cell>
        </row>
        <row r="2">
          <cell r="A2" t="str">
            <v>Indian Creek I #3</v>
          </cell>
        </row>
        <row r="3">
          <cell r="A3" t="str">
            <v>Tarrant County, Texas</v>
          </cell>
        </row>
        <row r="4">
          <cell r="A4" t="str">
            <v>Atoka 5: 15% HCl Ballout</v>
          </cell>
        </row>
        <row r="5">
          <cell r="A5">
            <v>38065</v>
          </cell>
        </row>
        <row r="6">
          <cell r="J6" t="str">
            <v>Sand Data</v>
          </cell>
        </row>
        <row r="7">
          <cell r="A7" t="str">
            <v>Pump Schedule</v>
          </cell>
          <cell r="J7" t="str">
            <v>Proppant Type</v>
          </cell>
        </row>
        <row r="8">
          <cell r="J8" t="str">
            <v>1.3 sp.gr. 7/8" RCN Ball Sealers</v>
          </cell>
        </row>
        <row r="9">
          <cell r="A9" t="str">
            <v>Rate (bpm):</v>
          </cell>
          <cell r="B9">
            <v>4</v>
          </cell>
          <cell r="C9" t="str">
            <v>Est. Pressure (psi):</v>
          </cell>
          <cell r="E9">
            <v>2000</v>
          </cell>
          <cell r="J9">
            <v>0</v>
          </cell>
        </row>
        <row r="10">
          <cell r="A10" t="str">
            <v>Stage</v>
          </cell>
          <cell r="B10" t="str">
            <v>Gallons</v>
          </cell>
          <cell r="C10" t="str">
            <v>Fluid Type/Prop Mesh/Type</v>
          </cell>
          <cell r="D10" t="str">
            <v>Rate</v>
          </cell>
          <cell r="E10" t="str">
            <v>N2 Rate (scf/min)</v>
          </cell>
          <cell r="F10" t="str">
            <v>Prop/Stage</v>
          </cell>
          <cell r="G10" t="str">
            <v>Slurry Bbls.</v>
          </cell>
          <cell r="H10" t="str">
            <v>Stage Time</v>
          </cell>
          <cell r="J10">
            <v>0</v>
          </cell>
        </row>
        <row r="11">
          <cell r="C11" t="str">
            <v>Pressure Test Lines to 5,000 psi.</v>
          </cell>
        </row>
        <row r="12">
          <cell r="C12" t="str">
            <v>Maximum Pressure is 3,000 psi!</v>
          </cell>
        </row>
        <row r="13">
          <cell r="A13" t="str">
            <v>Ballout Treatment</v>
          </cell>
          <cell r="F13"/>
        </row>
        <row r="14">
          <cell r="A14" t="str">
            <v>Acid</v>
          </cell>
          <cell r="B14">
            <v>3000</v>
          </cell>
          <cell r="C14" t="str">
            <v>15% HCl NEFe Acid with 18 Balls</v>
          </cell>
          <cell r="D14">
            <v>4</v>
          </cell>
          <cell r="F14"/>
          <cell r="G14">
            <v>71.428571428571431</v>
          </cell>
          <cell r="H14">
            <v>17.857142857142858</v>
          </cell>
        </row>
        <row r="15">
          <cell r="A15" t="str">
            <v>Flush</v>
          </cell>
          <cell r="B15">
            <v>3400</v>
          </cell>
          <cell r="C15" t="str">
            <v>Treated Water</v>
          </cell>
          <cell r="D15">
            <v>4</v>
          </cell>
          <cell r="F15"/>
          <cell r="G15">
            <v>80.952380952380949</v>
          </cell>
          <cell r="H15">
            <v>20.238095238095237</v>
          </cell>
          <cell r="J15" t="str">
            <v>Method 1</v>
          </cell>
        </row>
        <row r="16">
          <cell r="F16"/>
          <cell r="G16"/>
          <cell r="H16"/>
          <cell r="J16" t="str">
            <v>Pad</v>
          </cell>
        </row>
        <row r="17">
          <cell r="F17"/>
          <cell r="G17"/>
          <cell r="H17"/>
          <cell r="J17">
            <v>3000</v>
          </cell>
        </row>
        <row r="18">
          <cell r="C18" t="str">
            <v>Drop 2 Balls every 3 bbls of Acid.</v>
          </cell>
          <cell r="F18"/>
          <cell r="G18"/>
          <cell r="H18"/>
        </row>
        <row r="19">
          <cell r="F19"/>
          <cell r="G19"/>
          <cell r="H19"/>
          <cell r="J19" t="str">
            <v>Method 2</v>
          </cell>
        </row>
        <row r="20">
          <cell r="F20"/>
          <cell r="G20"/>
          <cell r="H20"/>
          <cell r="J20" t="str">
            <v>1+ (Pad/Sand) = 0.35</v>
          </cell>
        </row>
        <row r="21">
          <cell r="F21"/>
          <cell r="G21"/>
          <cell r="H21"/>
        </row>
        <row r="22">
          <cell r="C22" t="str">
            <v>OverFlush by 4 Barrels!</v>
          </cell>
          <cell r="F22"/>
          <cell r="G22"/>
          <cell r="H22"/>
          <cell r="J22" t="str">
            <v>Desired Percent Pad</v>
          </cell>
        </row>
        <row r="23">
          <cell r="C23" t="str">
            <v>Surge Balls.</v>
          </cell>
          <cell r="F23"/>
          <cell r="G23"/>
          <cell r="H23"/>
          <cell r="J23">
            <v>0.3</v>
          </cell>
        </row>
        <row r="24">
          <cell r="C24" t="str">
            <v>Take ISDP, 5, 10, 15 minute pressures &amp; record.</v>
          </cell>
          <cell r="F24"/>
          <cell r="G24"/>
          <cell r="H24"/>
        </row>
        <row r="25">
          <cell r="C25" t="str">
            <v>Flowback Immediately.</v>
          </cell>
          <cell r="F25"/>
          <cell r="G25"/>
          <cell r="H25"/>
          <cell r="J25" t="str">
            <v>Job Time</v>
          </cell>
        </row>
        <row r="26">
          <cell r="F26"/>
          <cell r="G26"/>
          <cell r="H26"/>
          <cell r="J26">
            <v>0.63492063492063489</v>
          </cell>
        </row>
        <row r="27">
          <cell r="F27"/>
          <cell r="G27"/>
          <cell r="H27"/>
        </row>
        <row r="28">
          <cell r="F28"/>
          <cell r="G28"/>
          <cell r="H28"/>
          <cell r="J28" t="str">
            <v>HH Power</v>
          </cell>
        </row>
        <row r="29">
          <cell r="F29"/>
          <cell r="G29"/>
          <cell r="H29"/>
          <cell r="J29">
            <v>196.07843137254903</v>
          </cell>
        </row>
        <row r="31">
          <cell r="A31" t="str">
            <v>Cum. Totals</v>
          </cell>
          <cell r="B31">
            <v>6400</v>
          </cell>
          <cell r="F31">
            <v>0</v>
          </cell>
          <cell r="G31">
            <v>152.38095238095238</v>
          </cell>
          <cell r="H31">
            <v>38.095238095238095</v>
          </cell>
        </row>
        <row r="33">
          <cell r="A33" t="str">
            <v>Procedure/Information:</v>
          </cell>
        </row>
      </sheetData>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VR1"/>
    </sheetNames>
    <sheetDataSet>
      <sheetData sheetId="0">
        <row r="4">
          <cell r="A4" t="str">
            <v>CODE</v>
          </cell>
          <cell r="B4" t="str">
            <v>DESCRIPTION</v>
          </cell>
          <cell r="C4" t="str">
            <v>UOM</v>
          </cell>
          <cell r="D4" t="str">
            <v>Price</v>
          </cell>
        </row>
        <row r="6">
          <cell r="B6" t="str">
            <v>MILEAGE  CHARGES</v>
          </cell>
        </row>
        <row r="8">
          <cell r="A8" t="str">
            <v>SE001</v>
          </cell>
          <cell r="B8" t="str">
            <v>Unit Mileage Charge-Trucks, Cars, and Vans (except bulk units)</v>
          </cell>
          <cell r="C8" t="str">
            <v>mi</v>
          </cell>
          <cell r="D8">
            <v>4.8499999999999996</v>
          </cell>
        </row>
        <row r="9">
          <cell r="A9" t="str">
            <v>SE002</v>
          </cell>
          <cell r="B9" t="str">
            <v>Crew Mileage Charge when equipment left overnight</v>
          </cell>
          <cell r="C9" t="str">
            <v>mi</v>
          </cell>
          <cell r="D9">
            <v>3.4</v>
          </cell>
        </row>
        <row r="10">
          <cell r="A10" t="str">
            <v>SE003</v>
          </cell>
          <cell r="B10" t="str">
            <v>Bad Road Conditions Charge (Hookup for Towing)</v>
          </cell>
          <cell r="C10" t="str">
            <v>Unit</v>
          </cell>
          <cell r="D10">
            <v>400</v>
          </cell>
        </row>
        <row r="11">
          <cell r="B11" t="str">
            <v>Commercial Carrier (ICC Rates)</v>
          </cell>
        </row>
        <row r="13">
          <cell r="B13" t="str">
            <v>BULK DELIVERY AND MISCELLANEOUS DELIVERY CHARGES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4.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5.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8.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9.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0.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1.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2.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3.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4.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5.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6.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7.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omments" Target="../comments18.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9.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omments" Target="../comments20.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omments" Target="../comments21.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2.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omments" Target="../comments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0" tint="-0.499984740745262"/>
    <pageSetUpPr fitToPage="1"/>
  </sheetPr>
  <dimension ref="A1:AA206"/>
  <sheetViews>
    <sheetView tabSelected="1" zoomScale="80" zoomScaleNormal="80" zoomScaleSheetLayoutView="100" workbookViewId="0">
      <selection activeCell="B2" sqref="B2:L6"/>
    </sheetView>
  </sheetViews>
  <sheetFormatPr defaultColWidth="9.140625" defaultRowHeight="12.75" x14ac:dyDescent="0.2"/>
  <cols>
    <col min="1" max="1" width="8" style="256" customWidth="1"/>
    <col min="2" max="2" width="14" style="256" customWidth="1"/>
    <col min="3" max="3" width="23.5703125" style="256" customWidth="1"/>
    <col min="4" max="4" width="8.85546875" style="256" customWidth="1"/>
    <col min="5" max="5" width="13.140625" style="256" customWidth="1"/>
    <col min="6" max="6" width="14.28515625" style="256" customWidth="1"/>
    <col min="7" max="7" width="11.28515625" style="256" customWidth="1"/>
    <col min="8" max="8" width="13" style="256" customWidth="1"/>
    <col min="9" max="9" width="2" style="256" customWidth="1"/>
    <col min="10" max="10" width="13.28515625" style="256" customWidth="1"/>
    <col min="11" max="11" width="8.5703125" style="256" customWidth="1"/>
    <col min="12" max="12" width="11.42578125" style="256" customWidth="1"/>
    <col min="13" max="20" width="9.140625" style="256"/>
    <col min="21" max="21" width="16.140625" style="256" customWidth="1"/>
    <col min="22" max="22" width="13.85546875" style="256" customWidth="1"/>
    <col min="23" max="23" width="9.140625" style="256"/>
    <col min="24" max="24" width="15.42578125" style="256" customWidth="1"/>
    <col min="25" max="16384" width="9.140625" style="256"/>
  </cols>
  <sheetData>
    <row r="1" spans="1:13" ht="15" customHeight="1" thickTop="1" thickBot="1" x14ac:dyDescent="0.25">
      <c r="A1" s="250"/>
      <c r="B1" s="251"/>
      <c r="C1" s="251"/>
      <c r="D1" s="251"/>
      <c r="E1" s="252"/>
      <c r="F1" s="253"/>
      <c r="G1" s="253"/>
      <c r="H1" s="253"/>
      <c r="I1" s="253"/>
      <c r="J1" s="251"/>
      <c r="K1" s="251"/>
      <c r="L1" s="254"/>
      <c r="M1" s="255"/>
    </row>
    <row r="2" spans="1:13" x14ac:dyDescent="0.2">
      <c r="A2" s="257"/>
      <c r="B2" s="603" t="s">
        <v>56</v>
      </c>
      <c r="C2" s="595"/>
      <c r="D2" s="595"/>
      <c r="E2" s="595"/>
      <c r="F2" s="595"/>
      <c r="G2" s="595"/>
      <c r="H2" s="595"/>
      <c r="I2" s="595"/>
      <c r="J2" s="595"/>
      <c r="K2" s="595"/>
      <c r="L2" s="596"/>
      <c r="M2" s="258"/>
    </row>
    <row r="3" spans="1:13" x14ac:dyDescent="0.2">
      <c r="A3" s="257"/>
      <c r="B3" s="597"/>
      <c r="C3" s="598"/>
      <c r="D3" s="598"/>
      <c r="E3" s="598"/>
      <c r="F3" s="598"/>
      <c r="G3" s="598"/>
      <c r="H3" s="598"/>
      <c r="I3" s="598"/>
      <c r="J3" s="598"/>
      <c r="K3" s="598"/>
      <c r="L3" s="599"/>
      <c r="M3" s="258"/>
    </row>
    <row r="4" spans="1:13" x14ac:dyDescent="0.2">
      <c r="A4" s="257"/>
      <c r="B4" s="597"/>
      <c r="C4" s="598"/>
      <c r="D4" s="598"/>
      <c r="E4" s="598"/>
      <c r="F4" s="598"/>
      <c r="G4" s="598"/>
      <c r="H4" s="598"/>
      <c r="I4" s="598"/>
      <c r="J4" s="598"/>
      <c r="K4" s="598"/>
      <c r="L4" s="599"/>
      <c r="M4" s="258"/>
    </row>
    <row r="5" spans="1:13" ht="13.7" customHeight="1" x14ac:dyDescent="0.2">
      <c r="A5" s="257"/>
      <c r="B5" s="597"/>
      <c r="C5" s="598"/>
      <c r="D5" s="598"/>
      <c r="E5" s="598"/>
      <c r="F5" s="598"/>
      <c r="G5" s="598"/>
      <c r="H5" s="598"/>
      <c r="I5" s="598"/>
      <c r="J5" s="598"/>
      <c r="K5" s="598"/>
      <c r="L5" s="599"/>
      <c r="M5" s="258"/>
    </row>
    <row r="6" spans="1:13" ht="13.7" customHeight="1" thickBot="1" x14ac:dyDescent="0.25">
      <c r="A6" s="259"/>
      <c r="B6" s="600"/>
      <c r="C6" s="601"/>
      <c r="D6" s="601"/>
      <c r="E6" s="601"/>
      <c r="F6" s="601"/>
      <c r="G6" s="601"/>
      <c r="H6" s="601"/>
      <c r="I6" s="601"/>
      <c r="J6" s="601"/>
      <c r="K6" s="601"/>
      <c r="L6" s="602"/>
      <c r="M6" s="258"/>
    </row>
    <row r="7" spans="1:13" ht="13.7" customHeight="1" x14ac:dyDescent="0.2">
      <c r="A7" s="260"/>
      <c r="B7" s="261"/>
      <c r="C7" s="261"/>
      <c r="D7" s="261"/>
      <c r="E7" s="261"/>
      <c r="F7" s="261"/>
      <c r="G7" s="261"/>
      <c r="H7" s="261"/>
      <c r="I7" s="261"/>
      <c r="J7" s="261"/>
      <c r="K7" s="261"/>
      <c r="L7" s="261"/>
      <c r="M7" s="258"/>
    </row>
    <row r="8" spans="1:13" s="262" customFormat="1" ht="13.7" customHeight="1" thickBot="1" x14ac:dyDescent="0.25">
      <c r="A8" s="260"/>
      <c r="B8" s="261"/>
      <c r="C8" s="261"/>
      <c r="D8" s="261"/>
      <c r="E8" s="261"/>
      <c r="F8" s="261"/>
      <c r="G8" s="261"/>
      <c r="H8" s="261"/>
      <c r="I8" s="261"/>
      <c r="J8" s="261"/>
      <c r="K8" s="261"/>
      <c r="L8" s="261"/>
      <c r="M8" s="258"/>
    </row>
    <row r="9" spans="1:13" s="262" customFormat="1" ht="16.5" customHeight="1" thickBot="1" x14ac:dyDescent="0.25">
      <c r="A9" s="263"/>
      <c r="B9" s="412" t="s">
        <v>54</v>
      </c>
      <c r="C9" s="413"/>
      <c r="D9" s="413"/>
      <c r="E9" s="413"/>
      <c r="F9" s="413"/>
      <c r="G9" s="413"/>
      <c r="H9" s="413"/>
      <c r="I9" s="413"/>
      <c r="J9" s="413"/>
      <c r="K9" s="413"/>
      <c r="L9" s="414"/>
      <c r="M9" s="264"/>
    </row>
    <row r="10" spans="1:13" s="262" customFormat="1" ht="16.5" customHeight="1" thickBot="1" x14ac:dyDescent="0.25">
      <c r="A10" s="263"/>
      <c r="B10" s="261"/>
      <c r="C10" s="261"/>
      <c r="D10" s="261"/>
      <c r="E10" s="261"/>
      <c r="F10" s="261"/>
      <c r="G10" s="261"/>
      <c r="H10" s="261"/>
      <c r="I10" s="261"/>
      <c r="J10" s="261"/>
      <c r="K10" s="261"/>
      <c r="L10" s="261"/>
      <c r="M10" s="264"/>
    </row>
    <row r="11" spans="1:13" s="262" customFormat="1" ht="16.5" customHeight="1" thickBot="1" x14ac:dyDescent="0.25">
      <c r="A11" s="265"/>
      <c r="B11" s="266"/>
      <c r="C11" s="267" t="s">
        <v>22</v>
      </c>
      <c r="D11" s="409"/>
      <c r="E11" s="410"/>
      <c r="F11" s="411"/>
      <c r="G11" s="268"/>
      <c r="H11" s="267" t="s">
        <v>57</v>
      </c>
      <c r="I11" s="409"/>
      <c r="J11" s="410"/>
      <c r="K11" s="411"/>
      <c r="L11" s="269"/>
      <c r="M11" s="264"/>
    </row>
    <row r="12" spans="1:13" s="262" customFormat="1" ht="16.5" thickBot="1" x14ac:dyDescent="0.25">
      <c r="A12" s="265"/>
      <c r="B12" s="266"/>
      <c r="C12" s="267" t="s">
        <v>35</v>
      </c>
      <c r="D12" s="381"/>
      <c r="E12" s="382"/>
      <c r="F12" s="383"/>
      <c r="G12" s="268"/>
      <c r="H12" s="270" t="s">
        <v>37</v>
      </c>
      <c r="I12" s="381"/>
      <c r="J12" s="382"/>
      <c r="K12" s="383"/>
      <c r="L12" s="269"/>
      <c r="M12" s="264"/>
    </row>
    <row r="13" spans="1:13" s="262" customFormat="1" ht="17.45" customHeight="1" thickBot="1" x14ac:dyDescent="0.3">
      <c r="A13" s="271"/>
      <c r="B13" s="272"/>
      <c r="C13" s="267" t="s">
        <v>38</v>
      </c>
      <c r="D13" s="381"/>
      <c r="E13" s="382"/>
      <c r="F13" s="383"/>
      <c r="G13" s="268"/>
      <c r="H13" s="270" t="s">
        <v>34</v>
      </c>
      <c r="I13" s="381"/>
      <c r="J13" s="382"/>
      <c r="K13" s="383"/>
      <c r="L13" s="269"/>
      <c r="M13" s="264"/>
    </row>
    <row r="14" spans="1:13" s="262" customFormat="1" ht="16.5" customHeight="1" thickBot="1" x14ac:dyDescent="0.25">
      <c r="A14" s="273"/>
      <c r="B14" s="274"/>
      <c r="C14" s="267" t="s">
        <v>30</v>
      </c>
      <c r="D14" s="381"/>
      <c r="E14" s="382"/>
      <c r="F14" s="383"/>
      <c r="G14" s="268"/>
      <c r="H14" s="270" t="s">
        <v>23</v>
      </c>
      <c r="I14" s="381"/>
      <c r="J14" s="382"/>
      <c r="K14" s="383"/>
      <c r="L14" s="269"/>
      <c r="M14" s="264"/>
    </row>
    <row r="15" spans="1:13" s="262" customFormat="1" ht="16.5" thickBot="1" x14ac:dyDescent="0.25">
      <c r="A15" s="273"/>
      <c r="B15" s="274"/>
      <c r="C15" s="267" t="s">
        <v>58</v>
      </c>
      <c r="D15" s="381"/>
      <c r="E15" s="382"/>
      <c r="F15" s="383"/>
      <c r="G15" s="275"/>
      <c r="H15" s="270" t="s">
        <v>32</v>
      </c>
      <c r="I15" s="381"/>
      <c r="J15" s="382"/>
      <c r="K15" s="383"/>
      <c r="L15" s="269"/>
      <c r="M15" s="264"/>
    </row>
    <row r="16" spans="1:13" s="277" customFormat="1" ht="16.5" customHeight="1" thickBot="1" x14ac:dyDescent="0.25">
      <c r="A16" s="273"/>
      <c r="B16" s="276"/>
      <c r="C16" s="267" t="s">
        <v>31</v>
      </c>
      <c r="D16" s="381"/>
      <c r="E16" s="382"/>
      <c r="F16" s="383"/>
      <c r="G16" s="275"/>
      <c r="H16" s="270" t="s">
        <v>24</v>
      </c>
      <c r="I16" s="384"/>
      <c r="J16" s="385"/>
      <c r="K16" s="386"/>
      <c r="L16" s="269"/>
      <c r="M16" s="264"/>
    </row>
    <row r="17" spans="1:13" s="262" customFormat="1" ht="18.75" customHeight="1" thickBot="1" x14ac:dyDescent="0.25">
      <c r="A17" s="273"/>
      <c r="B17" s="276"/>
      <c r="C17" s="278" t="s">
        <v>33</v>
      </c>
      <c r="D17" s="390"/>
      <c r="E17" s="391"/>
      <c r="F17" s="392"/>
      <c r="G17" s="275"/>
      <c r="H17" s="279" t="s">
        <v>36</v>
      </c>
      <c r="I17" s="387"/>
      <c r="J17" s="388"/>
      <c r="K17" s="389"/>
      <c r="L17" s="280"/>
      <c r="M17" s="281"/>
    </row>
    <row r="18" spans="1:13" s="262" customFormat="1" ht="15.75" x14ac:dyDescent="0.2">
      <c r="A18" s="273"/>
      <c r="B18" s="276"/>
      <c r="C18" s="282"/>
      <c r="D18" s="283"/>
      <c r="E18" s="283"/>
      <c r="F18" s="283"/>
      <c r="G18" s="275"/>
      <c r="H18" s="282"/>
      <c r="I18" s="284"/>
      <c r="J18" s="284"/>
      <c r="K18" s="284"/>
      <c r="L18" s="280"/>
      <c r="M18" s="281"/>
    </row>
    <row r="19" spans="1:13" s="262" customFormat="1" ht="16.5" thickBot="1" x14ac:dyDescent="0.25">
      <c r="A19" s="273"/>
      <c r="B19" s="276"/>
      <c r="C19" s="282"/>
      <c r="D19" s="283"/>
      <c r="E19" s="283"/>
      <c r="F19" s="283"/>
      <c r="G19" s="275"/>
      <c r="H19" s="282"/>
      <c r="I19" s="284"/>
      <c r="J19" s="284"/>
      <c r="K19" s="284"/>
      <c r="L19" s="280"/>
      <c r="M19" s="281"/>
    </row>
    <row r="20" spans="1:13" s="262" customFormat="1" ht="18.75" thickBot="1" x14ac:dyDescent="0.25">
      <c r="A20" s="273"/>
      <c r="B20" s="397" t="s">
        <v>55</v>
      </c>
      <c r="C20" s="398"/>
      <c r="D20" s="398"/>
      <c r="E20" s="398"/>
      <c r="F20" s="398"/>
      <c r="G20" s="398"/>
      <c r="H20" s="398"/>
      <c r="I20" s="398"/>
      <c r="J20" s="398"/>
      <c r="K20" s="398"/>
      <c r="L20" s="399"/>
      <c r="M20" s="264"/>
    </row>
    <row r="21" spans="1:13" s="262" customFormat="1" ht="18.75" thickBot="1" x14ac:dyDescent="0.25">
      <c r="A21" s="273"/>
      <c r="B21" s="285"/>
      <c r="C21" s="285"/>
      <c r="D21" s="285"/>
      <c r="E21" s="285"/>
      <c r="F21" s="285"/>
      <c r="G21" s="285"/>
      <c r="H21" s="285"/>
      <c r="I21" s="285"/>
      <c r="J21" s="285"/>
      <c r="K21" s="285"/>
      <c r="L21" s="285"/>
      <c r="M21" s="264"/>
    </row>
    <row r="22" spans="1:13" s="262" customFormat="1" ht="16.5" thickBot="1" x14ac:dyDescent="0.3">
      <c r="A22" s="286"/>
      <c r="B22" s="287" t="s">
        <v>0</v>
      </c>
      <c r="C22" s="222" t="s">
        <v>199</v>
      </c>
      <c r="D22" s="289"/>
      <c r="E22" s="289"/>
      <c r="F22" s="289"/>
      <c r="G22" s="289"/>
      <c r="H22" s="289"/>
      <c r="I22" s="289"/>
      <c r="J22" s="378"/>
      <c r="K22" s="378"/>
      <c r="L22" s="269"/>
      <c r="M22" s="264"/>
    </row>
    <row r="23" spans="1:13" s="262" customFormat="1" ht="16.5" thickBot="1" x14ac:dyDescent="0.3">
      <c r="A23" s="290"/>
      <c r="B23" s="291" t="s">
        <v>25</v>
      </c>
      <c r="C23" s="292" t="s">
        <v>42</v>
      </c>
      <c r="D23" s="293" t="s">
        <v>43</v>
      </c>
      <c r="E23" s="294" t="s">
        <v>44</v>
      </c>
      <c r="F23" s="294" t="s">
        <v>171</v>
      </c>
      <c r="G23" s="295" t="s">
        <v>46</v>
      </c>
      <c r="H23" s="289"/>
      <c r="I23" s="289"/>
      <c r="J23" s="373" t="str">
        <f>IF(C22="","Estimated Volume",C22&amp; " -"&amp;" Estimated Volume")</f>
        <v>Well A - Estimated Volume</v>
      </c>
      <c r="K23" s="374"/>
      <c r="L23" s="375"/>
      <c r="M23" s="264"/>
    </row>
    <row r="24" spans="1:13" s="262" customFormat="1" ht="16.5" thickBot="1" x14ac:dyDescent="0.25">
      <c r="A24" s="296"/>
      <c r="B24" s="297" t="s">
        <v>9</v>
      </c>
      <c r="C24" s="298"/>
      <c r="D24" s="299"/>
      <c r="E24" s="300"/>
      <c r="F24" s="301"/>
      <c r="G24" s="302"/>
      <c r="H24" s="303" t="str">
        <f>IF(F24="","",IF(G25="",(E24^2)*0.0009714*F24,(E24^2)*0.0009714*G25))</f>
        <v/>
      </c>
      <c r="I24" s="303"/>
      <c r="J24" s="304"/>
      <c r="K24" s="376" t="s">
        <v>49</v>
      </c>
      <c r="L24" s="377"/>
      <c r="M24" s="264"/>
    </row>
    <row r="25" spans="1:13" s="262" customFormat="1" ht="16.5" thickBot="1" x14ac:dyDescent="0.25">
      <c r="A25" s="305"/>
      <c r="B25" s="297" t="s">
        <v>40</v>
      </c>
      <c r="C25" s="298"/>
      <c r="D25" s="299"/>
      <c r="E25" s="299"/>
      <c r="F25" s="301"/>
      <c r="G25" s="301"/>
      <c r="H25" s="303" t="str">
        <f>IF(F25="","",IF(G26="",(E25^2)*0.0009714*(F25-G25),(E25^2)*0.0009714*(G26-G25)))</f>
        <v/>
      </c>
      <c r="I25" s="303"/>
      <c r="J25" s="306" t="str">
        <f>IF(H24="","",SUM(H24:H26)+J24)</f>
        <v/>
      </c>
      <c r="K25" s="307" t="s">
        <v>47</v>
      </c>
      <c r="L25" s="308"/>
      <c r="M25" s="264"/>
    </row>
    <row r="26" spans="1:13" s="262" customFormat="1" ht="16.5" thickBot="1" x14ac:dyDescent="0.25">
      <c r="A26" s="305"/>
      <c r="B26" s="309" t="s">
        <v>41</v>
      </c>
      <c r="C26" s="310"/>
      <c r="D26" s="311"/>
      <c r="E26" s="312"/>
      <c r="F26" s="313"/>
      <c r="G26" s="313"/>
      <c r="H26" s="303" t="str">
        <f>IF(F26="","",E26^2*0.0009714*(F26-G25))</f>
        <v/>
      </c>
      <c r="I26" s="303"/>
      <c r="J26" s="314" t="str">
        <f>IF(H24="","",J25*42)</f>
        <v/>
      </c>
      <c r="K26" s="315" t="s">
        <v>48</v>
      </c>
      <c r="L26" s="269"/>
      <c r="M26" s="264"/>
    </row>
    <row r="27" spans="1:13" s="262" customFormat="1" ht="15.75" thickBot="1" x14ac:dyDescent="0.25">
      <c r="A27" s="305"/>
      <c r="B27" s="316"/>
      <c r="C27" s="316"/>
      <c r="D27" s="317"/>
      <c r="E27" s="268"/>
      <c r="F27" s="318"/>
      <c r="G27" s="319"/>
      <c r="H27" s="319"/>
      <c r="I27" s="319"/>
      <c r="J27" s="275"/>
      <c r="K27" s="275"/>
      <c r="L27" s="269"/>
      <c r="M27" s="264"/>
    </row>
    <row r="28" spans="1:13" s="262" customFormat="1" ht="16.5" thickBot="1" x14ac:dyDescent="0.3">
      <c r="A28" s="305"/>
      <c r="B28" s="287" t="s">
        <v>0</v>
      </c>
      <c r="C28" s="222" t="s">
        <v>200</v>
      </c>
      <c r="D28" s="289"/>
      <c r="E28" s="289"/>
      <c r="F28" s="289"/>
      <c r="G28" s="289"/>
      <c r="H28" s="289"/>
      <c r="I28" s="289"/>
      <c r="J28" s="378"/>
      <c r="K28" s="378"/>
      <c r="L28" s="269"/>
      <c r="M28" s="264"/>
    </row>
    <row r="29" spans="1:13" s="262" customFormat="1" ht="16.5" thickBot="1" x14ac:dyDescent="0.3">
      <c r="A29" s="305"/>
      <c r="B29" s="291" t="s">
        <v>25</v>
      </c>
      <c r="C29" s="292" t="s">
        <v>42</v>
      </c>
      <c r="D29" s="293" t="s">
        <v>43</v>
      </c>
      <c r="E29" s="294" t="s">
        <v>44</v>
      </c>
      <c r="F29" s="294" t="s">
        <v>171</v>
      </c>
      <c r="G29" s="295" t="s">
        <v>46</v>
      </c>
      <c r="H29" s="289"/>
      <c r="I29" s="289"/>
      <c r="J29" s="373" t="str">
        <f>IF(C28="","Estimated Volume",C28&amp; " -"&amp;" Estimated Volume")</f>
        <v>Well B - Estimated Volume</v>
      </c>
      <c r="K29" s="374"/>
      <c r="L29" s="375"/>
      <c r="M29" s="264"/>
    </row>
    <row r="30" spans="1:13" s="262" customFormat="1" ht="16.5" thickBot="1" x14ac:dyDescent="0.25">
      <c r="A30" s="305"/>
      <c r="B30" s="297" t="s">
        <v>9</v>
      </c>
      <c r="C30" s="320"/>
      <c r="D30" s="299"/>
      <c r="E30" s="299"/>
      <c r="F30" s="301"/>
      <c r="G30" s="302"/>
      <c r="H30" s="303" t="str">
        <f>IF(F30="","",IF(G31="",(E30^2)*0.0009714*F30,(E30^2)*0.0009714*G31))</f>
        <v/>
      </c>
      <c r="I30" s="303"/>
      <c r="J30" s="304"/>
      <c r="K30" s="376" t="s">
        <v>49</v>
      </c>
      <c r="L30" s="377"/>
      <c r="M30" s="264"/>
    </row>
    <row r="31" spans="1:13" s="262" customFormat="1" ht="16.5" thickBot="1" x14ac:dyDescent="0.25">
      <c r="A31" s="305"/>
      <c r="B31" s="297" t="s">
        <v>40</v>
      </c>
      <c r="C31" s="299"/>
      <c r="D31" s="299"/>
      <c r="E31" s="299"/>
      <c r="F31" s="301"/>
      <c r="G31" s="301"/>
      <c r="H31" s="303" t="str">
        <f>IF(F31="","",IF(G32="",(E31^2)*0.0009714*(F31-G31),(E31^2)*0.0009714*(G32-G31)))</f>
        <v/>
      </c>
      <c r="I31" s="303"/>
      <c r="J31" s="306" t="str">
        <f>IF(H30="","",SUM(H30:H32)+J30)</f>
        <v/>
      </c>
      <c r="K31" s="321" t="s">
        <v>47</v>
      </c>
      <c r="L31" s="322"/>
      <c r="M31" s="264"/>
    </row>
    <row r="32" spans="1:13" s="262" customFormat="1" ht="16.5" thickBot="1" x14ac:dyDescent="0.25">
      <c r="A32" s="305"/>
      <c r="B32" s="309" t="s">
        <v>41</v>
      </c>
      <c r="C32" s="323"/>
      <c r="D32" s="311"/>
      <c r="E32" s="312"/>
      <c r="F32" s="313"/>
      <c r="G32" s="313"/>
      <c r="H32" s="303" t="str">
        <f>IF(F32="","",E32^2*0.0009714*(F32-G31))</f>
        <v/>
      </c>
      <c r="I32" s="303"/>
      <c r="J32" s="314" t="str">
        <f>IF(H30="","",J31*42)</f>
        <v/>
      </c>
      <c r="K32" s="324" t="s">
        <v>48</v>
      </c>
      <c r="L32" s="325"/>
      <c r="M32" s="264"/>
    </row>
    <row r="33" spans="1:26" s="262" customFormat="1" ht="15.75" thickBot="1" x14ac:dyDescent="0.25">
      <c r="A33" s="305"/>
      <c r="B33" s="316"/>
      <c r="C33" s="316"/>
      <c r="D33" s="317"/>
      <c r="E33" s="326"/>
      <c r="F33" s="275"/>
      <c r="G33" s="326"/>
      <c r="H33" s="275"/>
      <c r="I33" s="275"/>
      <c r="J33" s="326"/>
      <c r="K33" s="275"/>
      <c r="L33" s="269"/>
      <c r="M33" s="264"/>
    </row>
    <row r="34" spans="1:26" s="262" customFormat="1" ht="16.5" thickBot="1" x14ac:dyDescent="0.3">
      <c r="A34" s="305"/>
      <c r="B34" s="287" t="s">
        <v>0</v>
      </c>
      <c r="C34" s="288"/>
      <c r="D34" s="289"/>
      <c r="E34" s="289"/>
      <c r="F34" s="289"/>
      <c r="G34" s="289"/>
      <c r="H34" s="289"/>
      <c r="I34" s="289"/>
      <c r="J34" s="378"/>
      <c r="K34" s="378"/>
      <c r="L34" s="269"/>
      <c r="M34" s="264"/>
    </row>
    <row r="35" spans="1:26" s="262" customFormat="1" ht="16.5" thickBot="1" x14ac:dyDescent="0.3">
      <c r="A35" s="305"/>
      <c r="B35" s="291" t="s">
        <v>25</v>
      </c>
      <c r="C35" s="292" t="s">
        <v>42</v>
      </c>
      <c r="D35" s="293" t="s">
        <v>43</v>
      </c>
      <c r="E35" s="294" t="s">
        <v>44</v>
      </c>
      <c r="F35" s="294" t="s">
        <v>171</v>
      </c>
      <c r="G35" s="295" t="s">
        <v>46</v>
      </c>
      <c r="H35" s="289"/>
      <c r="I35" s="289"/>
      <c r="J35" s="373" t="str">
        <f>IF(C34="","Estimated Volume",C34&amp; " -"&amp;" Estimated Volume")</f>
        <v>Estimated Volume</v>
      </c>
      <c r="K35" s="374"/>
      <c r="L35" s="375"/>
      <c r="M35" s="264"/>
    </row>
    <row r="36" spans="1:26" s="262" customFormat="1" ht="16.5" thickBot="1" x14ac:dyDescent="0.3">
      <c r="A36" s="305"/>
      <c r="B36" s="297" t="s">
        <v>9</v>
      </c>
      <c r="C36" s="320"/>
      <c r="D36" s="299"/>
      <c r="E36" s="299"/>
      <c r="F36" s="301"/>
      <c r="G36" s="302"/>
      <c r="H36" s="303" t="str">
        <f>IF(F36="","",IF(G37="",(E36^2)*0.0009714*F36,(E36^2)*0.0009714*G37))</f>
        <v/>
      </c>
      <c r="I36" s="303"/>
      <c r="J36" s="304"/>
      <c r="K36" s="376" t="s">
        <v>49</v>
      </c>
      <c r="L36" s="377"/>
      <c r="M36" s="264"/>
      <c r="N36" s="327"/>
      <c r="U36" s="328"/>
      <c r="X36" s="328"/>
      <c r="Z36" s="328"/>
    </row>
    <row r="37" spans="1:26" s="262" customFormat="1" ht="16.5" thickBot="1" x14ac:dyDescent="0.3">
      <c r="A37" s="305"/>
      <c r="B37" s="297" t="s">
        <v>40</v>
      </c>
      <c r="C37" s="299"/>
      <c r="D37" s="299"/>
      <c r="E37" s="299"/>
      <c r="F37" s="301"/>
      <c r="G37" s="301"/>
      <c r="H37" s="303" t="str">
        <f>IF(F37="","",IF(G38="",(E37^2)*0.0009714*(F37-G37),(E37^2)*0.0009714*(G38-G37)))</f>
        <v/>
      </c>
      <c r="I37" s="303"/>
      <c r="J37" s="306" t="str">
        <f>IF(H36="","",SUM(H36:H38)+J36)</f>
        <v/>
      </c>
      <c r="K37" s="321" t="s">
        <v>47</v>
      </c>
      <c r="L37" s="322"/>
      <c r="M37" s="264"/>
      <c r="U37" s="328"/>
      <c r="X37" s="328"/>
      <c r="Z37" s="328"/>
    </row>
    <row r="38" spans="1:26" s="262" customFormat="1" ht="16.5" thickBot="1" x14ac:dyDescent="0.25">
      <c r="A38" s="305"/>
      <c r="B38" s="309" t="s">
        <v>41</v>
      </c>
      <c r="C38" s="323"/>
      <c r="D38" s="311"/>
      <c r="E38" s="312"/>
      <c r="F38" s="313"/>
      <c r="G38" s="313"/>
      <c r="H38" s="303" t="str">
        <f>IF(F38="","",E38^2*0.0009714*(F38-G37))</f>
        <v/>
      </c>
      <c r="I38" s="303"/>
      <c r="J38" s="314" t="str">
        <f>IF(H36="","",J37*42)</f>
        <v/>
      </c>
      <c r="K38" s="324" t="s">
        <v>48</v>
      </c>
      <c r="L38" s="325"/>
      <c r="M38" s="264"/>
      <c r="U38" s="329"/>
      <c r="V38" s="329"/>
      <c r="X38" s="330"/>
    </row>
    <row r="39" spans="1:26" s="262" customFormat="1" ht="15.75" thickBot="1" x14ac:dyDescent="0.25">
      <c r="A39" s="305"/>
      <c r="B39" s="316"/>
      <c r="C39" s="316"/>
      <c r="D39" s="317"/>
      <c r="E39" s="275"/>
      <c r="F39" s="331"/>
      <c r="G39" s="331"/>
      <c r="H39" s="331"/>
      <c r="I39" s="331"/>
      <c r="J39" s="275"/>
      <c r="K39" s="275"/>
      <c r="L39" s="269"/>
      <c r="M39" s="264"/>
      <c r="U39" s="329"/>
      <c r="X39" s="332"/>
    </row>
    <row r="40" spans="1:26" s="262" customFormat="1" ht="16.5" thickBot="1" x14ac:dyDescent="0.3">
      <c r="A40" s="333"/>
      <c r="B40" s="287" t="s">
        <v>0</v>
      </c>
      <c r="C40" s="288"/>
      <c r="D40" s="289"/>
      <c r="E40" s="289"/>
      <c r="F40" s="289"/>
      <c r="G40" s="289"/>
      <c r="H40" s="289"/>
      <c r="I40" s="289"/>
      <c r="J40" s="378"/>
      <c r="K40" s="378"/>
      <c r="L40" s="269"/>
      <c r="M40" s="264"/>
      <c r="U40" s="329"/>
      <c r="X40" s="330"/>
    </row>
    <row r="41" spans="1:26" s="262" customFormat="1" ht="16.5" thickBot="1" x14ac:dyDescent="0.3">
      <c r="A41" s="333"/>
      <c r="B41" s="291" t="s">
        <v>25</v>
      </c>
      <c r="C41" s="292" t="s">
        <v>42</v>
      </c>
      <c r="D41" s="293" t="s">
        <v>43</v>
      </c>
      <c r="E41" s="294" t="s">
        <v>44</v>
      </c>
      <c r="F41" s="294" t="s">
        <v>171</v>
      </c>
      <c r="G41" s="295" t="s">
        <v>46</v>
      </c>
      <c r="H41" s="289"/>
      <c r="I41" s="289"/>
      <c r="J41" s="373" t="str">
        <f>IF(C40="","Estimated Volume",C40&amp; " -"&amp;" Estimated Volume")</f>
        <v>Estimated Volume</v>
      </c>
      <c r="K41" s="374"/>
      <c r="L41" s="375"/>
      <c r="M41" s="264"/>
      <c r="U41" s="329"/>
      <c r="V41" s="329"/>
      <c r="X41" s="330"/>
    </row>
    <row r="42" spans="1:26" s="262" customFormat="1" ht="16.5" thickBot="1" x14ac:dyDescent="0.25">
      <c r="A42" s="296"/>
      <c r="B42" s="297" t="s">
        <v>9</v>
      </c>
      <c r="C42" s="320"/>
      <c r="D42" s="299"/>
      <c r="E42" s="299"/>
      <c r="F42" s="301"/>
      <c r="G42" s="302"/>
      <c r="H42" s="303" t="str">
        <f>IF(F42="","",IF(G43="",(E42^2)*0.0009714*F42,(E42^2)*0.0009714*G43))</f>
        <v/>
      </c>
      <c r="I42" s="303"/>
      <c r="J42" s="304"/>
      <c r="K42" s="376" t="s">
        <v>49</v>
      </c>
      <c r="L42" s="377"/>
      <c r="M42" s="264"/>
      <c r="X42" s="330"/>
    </row>
    <row r="43" spans="1:26" s="262" customFormat="1" ht="16.5" thickBot="1" x14ac:dyDescent="0.25">
      <c r="A43" s="334"/>
      <c r="B43" s="297" t="s">
        <v>40</v>
      </c>
      <c r="C43" s="299"/>
      <c r="D43" s="299"/>
      <c r="E43" s="299"/>
      <c r="F43" s="301"/>
      <c r="G43" s="301"/>
      <c r="H43" s="303" t="str">
        <f>IF(F43="","",IF(G44="",(E43^2)*0.0009714*(F43-G43),(E43^2)*0.0009714*(G44-G43)))</f>
        <v/>
      </c>
      <c r="I43" s="303"/>
      <c r="J43" s="306" t="str">
        <f>IF(H42="","",SUM(H42:H44)+J42)</f>
        <v/>
      </c>
      <c r="K43" s="307" t="s">
        <v>47</v>
      </c>
      <c r="L43" s="308"/>
      <c r="M43" s="264"/>
      <c r="P43" s="327"/>
      <c r="U43" s="329"/>
      <c r="V43" s="329"/>
      <c r="X43" s="330"/>
    </row>
    <row r="44" spans="1:26" s="262" customFormat="1" ht="16.5" thickBot="1" x14ac:dyDescent="0.25">
      <c r="A44" s="334"/>
      <c r="B44" s="309" t="s">
        <v>41</v>
      </c>
      <c r="C44" s="323"/>
      <c r="D44" s="311"/>
      <c r="E44" s="312"/>
      <c r="F44" s="313"/>
      <c r="G44" s="313"/>
      <c r="H44" s="303" t="str">
        <f>IF(F44="","",E44^2*0.0009714*(F44-G43))</f>
        <v/>
      </c>
      <c r="I44" s="303"/>
      <c r="J44" s="314" t="str">
        <f>IF(H42="","",J43*42)</f>
        <v/>
      </c>
      <c r="K44" s="315" t="s">
        <v>48</v>
      </c>
      <c r="L44" s="269"/>
      <c r="M44" s="264"/>
      <c r="U44" s="329"/>
      <c r="V44" s="329"/>
      <c r="X44" s="330"/>
    </row>
    <row r="45" spans="1:26" s="262" customFormat="1" ht="15.75" thickBot="1" x14ac:dyDescent="0.25">
      <c r="A45" s="335"/>
      <c r="B45" s="316"/>
      <c r="C45" s="316"/>
      <c r="D45" s="317"/>
      <c r="E45" s="326"/>
      <c r="F45" s="275"/>
      <c r="G45" s="326"/>
      <c r="H45" s="275"/>
      <c r="I45" s="275"/>
      <c r="J45" s="326"/>
      <c r="K45" s="275"/>
      <c r="L45" s="269"/>
      <c r="M45" s="264"/>
      <c r="U45" s="329"/>
      <c r="V45" s="329"/>
      <c r="X45" s="330"/>
    </row>
    <row r="46" spans="1:26" s="262" customFormat="1" ht="16.5" thickBot="1" x14ac:dyDescent="0.3">
      <c r="A46" s="335"/>
      <c r="B46" s="287" t="s">
        <v>0</v>
      </c>
      <c r="C46" s="288"/>
      <c r="D46" s="289"/>
      <c r="E46" s="289"/>
      <c r="F46" s="289"/>
      <c r="G46" s="289"/>
      <c r="H46" s="289"/>
      <c r="I46" s="289"/>
      <c r="J46" s="378"/>
      <c r="K46" s="378"/>
      <c r="L46" s="269"/>
      <c r="M46" s="264"/>
      <c r="U46" s="329"/>
      <c r="V46" s="329"/>
      <c r="X46" s="330"/>
    </row>
    <row r="47" spans="1:26" s="262" customFormat="1" ht="16.5" thickBot="1" x14ac:dyDescent="0.3">
      <c r="A47" s="335"/>
      <c r="B47" s="291" t="s">
        <v>25</v>
      </c>
      <c r="C47" s="292" t="s">
        <v>42</v>
      </c>
      <c r="D47" s="293" t="s">
        <v>43</v>
      </c>
      <c r="E47" s="294" t="s">
        <v>44</v>
      </c>
      <c r="F47" s="294" t="s">
        <v>171</v>
      </c>
      <c r="G47" s="295" t="s">
        <v>46</v>
      </c>
      <c r="H47" s="289"/>
      <c r="I47" s="289"/>
      <c r="J47" s="373" t="str">
        <f>IF(C46="","Estimated Volume",C46&amp; " -"&amp;" Estimated Volume")</f>
        <v>Estimated Volume</v>
      </c>
      <c r="K47" s="374"/>
      <c r="L47" s="375"/>
      <c r="M47" s="264"/>
      <c r="U47" s="329"/>
      <c r="V47" s="329"/>
    </row>
    <row r="48" spans="1:26" s="262" customFormat="1" ht="16.5" thickBot="1" x14ac:dyDescent="0.3">
      <c r="A48" s="335"/>
      <c r="B48" s="297" t="s">
        <v>9</v>
      </c>
      <c r="C48" s="320"/>
      <c r="D48" s="299"/>
      <c r="E48" s="299"/>
      <c r="F48" s="301"/>
      <c r="G48" s="302"/>
      <c r="H48" s="303" t="str">
        <f>IF(F48="","",IF(G49="",(E48^2)*0.0009714*F48,(E48^2)*0.0009714*G49))</f>
        <v/>
      </c>
      <c r="I48" s="303"/>
      <c r="J48" s="304"/>
      <c r="K48" s="376" t="s">
        <v>49</v>
      </c>
      <c r="L48" s="377"/>
      <c r="M48" s="264"/>
      <c r="U48" s="328"/>
    </row>
    <row r="49" spans="1:21" s="262" customFormat="1" ht="16.5" thickBot="1" x14ac:dyDescent="0.25">
      <c r="A49" s="335"/>
      <c r="B49" s="297" t="s">
        <v>40</v>
      </c>
      <c r="C49" s="299"/>
      <c r="D49" s="299"/>
      <c r="E49" s="299"/>
      <c r="F49" s="301"/>
      <c r="G49" s="301"/>
      <c r="H49" s="303" t="str">
        <f>IF(F49="","",IF(G50="",(E49^2)*0.0009714*(F49-G49),(E49^2)*0.0009714*(G50-G49)))</f>
        <v/>
      </c>
      <c r="I49" s="303"/>
      <c r="J49" s="306" t="str">
        <f>IF(H48="","",SUM(H48:H50)+J48)</f>
        <v/>
      </c>
      <c r="K49" s="307" t="s">
        <v>47</v>
      </c>
      <c r="L49" s="308"/>
      <c r="M49" s="264"/>
    </row>
    <row r="50" spans="1:21" s="262" customFormat="1" ht="16.5" thickBot="1" x14ac:dyDescent="0.25">
      <c r="A50" s="335"/>
      <c r="B50" s="309" t="s">
        <v>41</v>
      </c>
      <c r="C50" s="323"/>
      <c r="D50" s="311"/>
      <c r="E50" s="312"/>
      <c r="F50" s="313"/>
      <c r="G50" s="313"/>
      <c r="H50" s="303" t="str">
        <f>IF(F50="","",E50^2*0.0009714*(F50-G49))</f>
        <v/>
      </c>
      <c r="I50" s="303"/>
      <c r="J50" s="314" t="str">
        <f>IF(H48="","",J49*42)</f>
        <v/>
      </c>
      <c r="K50" s="315" t="s">
        <v>48</v>
      </c>
      <c r="L50" s="269"/>
      <c r="M50" s="264"/>
    </row>
    <row r="51" spans="1:21" s="262" customFormat="1" ht="15" x14ac:dyDescent="0.2">
      <c r="A51" s="336"/>
      <c r="B51" s="275"/>
      <c r="C51" s="337"/>
      <c r="D51" s="275"/>
      <c r="E51" s="275"/>
      <c r="F51" s="275"/>
      <c r="G51" s="275"/>
      <c r="H51" s="275"/>
      <c r="I51" s="275"/>
      <c r="J51" s="275"/>
      <c r="K51" s="275"/>
      <c r="L51" s="269"/>
      <c r="M51" s="264"/>
    </row>
    <row r="52" spans="1:21" s="262" customFormat="1" ht="15.75" thickBot="1" x14ac:dyDescent="0.25">
      <c r="A52" s="336"/>
      <c r="B52" s="275"/>
      <c r="C52" s="275"/>
      <c r="D52" s="275"/>
      <c r="E52" s="317"/>
      <c r="F52" s="275"/>
      <c r="G52" s="275"/>
      <c r="H52" s="275"/>
      <c r="I52" s="275"/>
      <c r="J52" s="275"/>
      <c r="K52" s="275"/>
      <c r="L52" s="269"/>
      <c r="M52" s="264"/>
    </row>
    <row r="53" spans="1:21" s="262" customFormat="1" ht="18.75" thickBot="1" x14ac:dyDescent="0.3">
      <c r="A53" s="335"/>
      <c r="B53" s="400" t="s">
        <v>50</v>
      </c>
      <c r="C53" s="401"/>
      <c r="D53" s="401"/>
      <c r="E53" s="401"/>
      <c r="F53" s="401"/>
      <c r="G53" s="401"/>
      <c r="H53" s="401"/>
      <c r="I53" s="401"/>
      <c r="J53" s="401"/>
      <c r="K53" s="401"/>
      <c r="L53" s="402"/>
      <c r="M53" s="264"/>
      <c r="N53" s="338"/>
    </row>
    <row r="54" spans="1:21" s="262" customFormat="1" ht="15.75" thickBot="1" x14ac:dyDescent="0.25">
      <c r="A54" s="335"/>
      <c r="B54" s="316"/>
      <c r="C54" s="316"/>
      <c r="D54" s="316"/>
      <c r="E54" s="316"/>
      <c r="F54" s="316"/>
      <c r="G54" s="316"/>
      <c r="H54" s="316"/>
      <c r="I54" s="316"/>
      <c r="J54" s="316"/>
      <c r="K54" s="316"/>
      <c r="L54" s="316"/>
      <c r="M54" s="264"/>
      <c r="N54" s="338"/>
    </row>
    <row r="55" spans="1:21" s="262" customFormat="1" ht="15.75" x14ac:dyDescent="0.2">
      <c r="A55" s="336"/>
      <c r="B55" s="403" t="s">
        <v>52</v>
      </c>
      <c r="C55" s="403"/>
      <c r="D55" s="405" t="s">
        <v>29</v>
      </c>
      <c r="E55" s="405"/>
      <c r="F55" s="405"/>
      <c r="G55" s="326"/>
      <c r="H55" s="406" t="s">
        <v>51</v>
      </c>
      <c r="I55" s="407"/>
      <c r="J55" s="405" t="s">
        <v>53</v>
      </c>
      <c r="K55" s="405"/>
      <c r="L55" s="405"/>
      <c r="M55" s="264"/>
    </row>
    <row r="56" spans="1:21" s="262" customFormat="1" ht="15.75" x14ac:dyDescent="0.2">
      <c r="A56" s="336"/>
      <c r="B56" s="404" t="s">
        <v>4</v>
      </c>
      <c r="C56" s="404"/>
      <c r="D56" s="379"/>
      <c r="E56" s="379"/>
      <c r="F56" s="379"/>
      <c r="G56" s="326"/>
      <c r="H56" s="393" t="s">
        <v>51</v>
      </c>
      <c r="I56" s="394"/>
      <c r="J56" s="379"/>
      <c r="K56" s="379"/>
      <c r="L56" s="379"/>
      <c r="M56" s="264"/>
    </row>
    <row r="57" spans="1:21" s="262" customFormat="1" ht="15.75" x14ac:dyDescent="0.2">
      <c r="A57" s="336"/>
      <c r="B57" s="404" t="s">
        <v>4</v>
      </c>
      <c r="C57" s="404"/>
      <c r="D57" s="379"/>
      <c r="E57" s="379"/>
      <c r="F57" s="379"/>
      <c r="G57" s="326"/>
      <c r="H57" s="393" t="s">
        <v>51</v>
      </c>
      <c r="I57" s="394"/>
      <c r="J57" s="379"/>
      <c r="K57" s="379"/>
      <c r="L57" s="379"/>
      <c r="M57" s="264"/>
    </row>
    <row r="58" spans="1:21" s="262" customFormat="1" ht="15.75" x14ac:dyDescent="0.2">
      <c r="A58" s="336"/>
      <c r="B58" s="404" t="s">
        <v>4</v>
      </c>
      <c r="C58" s="404"/>
      <c r="D58" s="379"/>
      <c r="E58" s="379"/>
      <c r="F58" s="379"/>
      <c r="G58" s="326"/>
      <c r="H58" s="393" t="s">
        <v>51</v>
      </c>
      <c r="I58" s="394"/>
      <c r="J58" s="379"/>
      <c r="K58" s="379"/>
      <c r="L58" s="379"/>
      <c r="M58" s="264"/>
    </row>
    <row r="59" spans="1:21" s="262" customFormat="1" ht="16.5" thickBot="1" x14ac:dyDescent="0.25">
      <c r="A59" s="339"/>
      <c r="B59" s="408" t="s">
        <v>4</v>
      </c>
      <c r="C59" s="408"/>
      <c r="D59" s="380"/>
      <c r="E59" s="380"/>
      <c r="F59" s="380"/>
      <c r="G59" s="340"/>
      <c r="H59" s="395" t="s">
        <v>51</v>
      </c>
      <c r="I59" s="396"/>
      <c r="J59" s="380"/>
      <c r="K59" s="380"/>
      <c r="L59" s="380"/>
      <c r="M59" s="264"/>
    </row>
    <row r="60" spans="1:21" s="262" customFormat="1" ht="15" x14ac:dyDescent="0.2">
      <c r="A60" s="296"/>
      <c r="B60" s="275"/>
      <c r="C60" s="340"/>
      <c r="D60" s="340"/>
      <c r="E60" s="340"/>
      <c r="F60" s="340"/>
      <c r="G60" s="326"/>
      <c r="H60" s="326"/>
      <c r="I60" s="326"/>
      <c r="J60" s="340"/>
      <c r="K60" s="340"/>
      <c r="L60" s="269"/>
      <c r="M60" s="264"/>
    </row>
    <row r="61" spans="1:21" s="262" customFormat="1" ht="16.5" thickBot="1" x14ac:dyDescent="0.3">
      <c r="A61" s="341"/>
      <c r="B61" s="342"/>
      <c r="C61" s="342"/>
      <c r="D61" s="342"/>
      <c r="E61" s="343"/>
      <c r="F61" s="344"/>
      <c r="G61" s="344"/>
      <c r="H61" s="344"/>
      <c r="I61" s="344"/>
      <c r="J61" s="342"/>
      <c r="K61" s="342"/>
      <c r="L61" s="345"/>
      <c r="M61" s="346"/>
      <c r="U61" s="328"/>
    </row>
    <row r="62" spans="1:21" s="262" customFormat="1" ht="15.75" thickTop="1" x14ac:dyDescent="0.2">
      <c r="A62" s="347"/>
      <c r="B62" s="348"/>
      <c r="C62" s="349"/>
      <c r="D62" s="349"/>
      <c r="E62" s="350"/>
      <c r="F62" s="351"/>
      <c r="G62" s="352"/>
      <c r="H62" s="352"/>
      <c r="I62" s="352"/>
      <c r="J62" s="348"/>
      <c r="K62" s="348"/>
      <c r="L62" s="332"/>
      <c r="M62" s="332"/>
    </row>
    <row r="63" spans="1:21" s="262" customFormat="1" ht="15" x14ac:dyDescent="0.2">
      <c r="A63" s="347"/>
      <c r="B63" s="349"/>
      <c r="C63" s="348"/>
      <c r="D63" s="348"/>
      <c r="E63" s="353"/>
      <c r="F63" s="351"/>
      <c r="G63" s="352"/>
      <c r="H63" s="352"/>
      <c r="I63" s="352"/>
      <c r="J63" s="348"/>
      <c r="K63" s="348"/>
      <c r="L63" s="332"/>
      <c r="M63" s="332"/>
      <c r="N63" s="256"/>
    </row>
    <row r="64" spans="1:21" ht="15" x14ac:dyDescent="0.2">
      <c r="A64" s="347"/>
      <c r="B64" s="349"/>
      <c r="C64" s="349"/>
      <c r="D64" s="349"/>
      <c r="E64" s="354"/>
      <c r="F64" s="351"/>
      <c r="G64" s="352"/>
      <c r="H64" s="352"/>
      <c r="I64" s="352"/>
      <c r="J64" s="348"/>
      <c r="K64" s="348"/>
      <c r="L64" s="332"/>
      <c r="M64" s="332"/>
    </row>
    <row r="65" spans="1:13" ht="15" x14ac:dyDescent="0.2">
      <c r="A65" s="355"/>
      <c r="B65" s="355"/>
      <c r="C65" s="349"/>
      <c r="D65" s="349"/>
      <c r="E65" s="350"/>
      <c r="F65" s="351"/>
      <c r="G65" s="355"/>
      <c r="H65" s="355"/>
      <c r="I65" s="355"/>
      <c r="J65" s="348"/>
      <c r="K65" s="348"/>
      <c r="L65" s="355"/>
      <c r="M65" s="355"/>
    </row>
    <row r="66" spans="1:13" x14ac:dyDescent="0.2">
      <c r="A66" s="355"/>
      <c r="B66" s="355"/>
      <c r="C66" s="355"/>
      <c r="D66" s="355"/>
      <c r="E66" s="355"/>
      <c r="F66" s="355"/>
      <c r="G66" s="355"/>
      <c r="H66" s="355"/>
      <c r="I66" s="355"/>
      <c r="J66" s="355"/>
      <c r="K66" s="355"/>
      <c r="L66" s="355"/>
      <c r="M66" s="355"/>
    </row>
    <row r="67" spans="1:13" x14ac:dyDescent="0.2">
      <c r="A67" s="355"/>
      <c r="B67" s="355"/>
      <c r="C67" s="355"/>
      <c r="D67" s="355"/>
      <c r="E67" s="355"/>
      <c r="F67" s="355"/>
      <c r="G67" s="355"/>
      <c r="H67" s="355"/>
      <c r="I67" s="355"/>
      <c r="J67" s="355"/>
      <c r="K67" s="355"/>
      <c r="L67" s="355"/>
      <c r="M67" s="355"/>
    </row>
    <row r="68" spans="1:13" x14ac:dyDescent="0.2">
      <c r="A68" s="355"/>
      <c r="B68" s="355"/>
      <c r="C68" s="355"/>
      <c r="D68" s="355"/>
      <c r="E68" s="355"/>
      <c r="F68" s="355"/>
      <c r="G68" s="355"/>
      <c r="H68" s="355"/>
      <c r="I68" s="355"/>
      <c r="J68" s="355"/>
      <c r="K68" s="355"/>
      <c r="L68" s="355"/>
      <c r="M68" s="355"/>
    </row>
    <row r="200" spans="27:27" x14ac:dyDescent="0.2">
      <c r="AA200" s="256" t="s">
        <v>9</v>
      </c>
    </row>
    <row r="201" spans="27:27" x14ac:dyDescent="0.2">
      <c r="AA201" s="256" t="s">
        <v>40</v>
      </c>
    </row>
    <row r="202" spans="27:27" x14ac:dyDescent="0.2">
      <c r="AA202" s="256" t="s">
        <v>41</v>
      </c>
    </row>
    <row r="203" spans="27:27" x14ac:dyDescent="0.2">
      <c r="AA203" s="256" t="s">
        <v>114</v>
      </c>
    </row>
    <row r="204" spans="27:27" x14ac:dyDescent="0.2">
      <c r="AA204" s="256" t="s">
        <v>115</v>
      </c>
    </row>
    <row r="205" spans="27:27" x14ac:dyDescent="0.2">
      <c r="AA205" s="256" t="s">
        <v>116</v>
      </c>
    </row>
    <row r="206" spans="27:27" x14ac:dyDescent="0.2">
      <c r="AA206" s="256" t="s">
        <v>117</v>
      </c>
    </row>
  </sheetData>
  <sheetProtection sheet="1" objects="1" scenarios="1"/>
  <mergeCells count="53">
    <mergeCell ref="B2:L6"/>
    <mergeCell ref="J22:K22"/>
    <mergeCell ref="I14:K14"/>
    <mergeCell ref="D11:F11"/>
    <mergeCell ref="D12:F12"/>
    <mergeCell ref="D14:F14"/>
    <mergeCell ref="D15:F15"/>
    <mergeCell ref="I11:K11"/>
    <mergeCell ref="I12:K12"/>
    <mergeCell ref="I13:K13"/>
    <mergeCell ref="I15:K15"/>
    <mergeCell ref="B9:L9"/>
    <mergeCell ref="D13:F13"/>
    <mergeCell ref="J57:L57"/>
    <mergeCell ref="J58:L58"/>
    <mergeCell ref="J59:L59"/>
    <mergeCell ref="B53:L53"/>
    <mergeCell ref="B55:C55"/>
    <mergeCell ref="B56:C56"/>
    <mergeCell ref="D55:F55"/>
    <mergeCell ref="D56:F56"/>
    <mergeCell ref="J55:L55"/>
    <mergeCell ref="J56:L56"/>
    <mergeCell ref="H55:I55"/>
    <mergeCell ref="H56:I56"/>
    <mergeCell ref="B57:C57"/>
    <mergeCell ref="B58:C58"/>
    <mergeCell ref="B59:C59"/>
    <mergeCell ref="D57:F57"/>
    <mergeCell ref="D58:F58"/>
    <mergeCell ref="D59:F59"/>
    <mergeCell ref="J47:L47"/>
    <mergeCell ref="K48:L48"/>
    <mergeCell ref="D16:F16"/>
    <mergeCell ref="I16:K16"/>
    <mergeCell ref="I17:K17"/>
    <mergeCell ref="D17:F17"/>
    <mergeCell ref="J28:K28"/>
    <mergeCell ref="H57:I57"/>
    <mergeCell ref="H58:I58"/>
    <mergeCell ref="H59:I59"/>
    <mergeCell ref="B20:L20"/>
    <mergeCell ref="K24:L24"/>
    <mergeCell ref="J23:L23"/>
    <mergeCell ref="J29:L29"/>
    <mergeCell ref="J41:L41"/>
    <mergeCell ref="K42:L42"/>
    <mergeCell ref="J46:K46"/>
    <mergeCell ref="K30:L30"/>
    <mergeCell ref="J34:K34"/>
    <mergeCell ref="J35:L35"/>
    <mergeCell ref="K36:L36"/>
    <mergeCell ref="J40:K40"/>
  </mergeCells>
  <dataValidations disablePrompts="1" count="1">
    <dataValidation type="list" allowBlank="1" showInputMessage="1" showErrorMessage="1" sqref="B24:B26 B30:B32 B36:B38 B42:B44 B48:B50" xr:uid="{00000000-0002-0000-0000-000000000000}">
      <formula1>$AA$199:$AA$208</formula1>
    </dataValidation>
  </dataValidations>
  <pageMargins left="0.37" right="0.37" top="0.5" bottom="0.5" header="0.5" footer="0.5"/>
  <pageSetup scale="66"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tint="-0.499984740745262"/>
  </sheetPr>
  <dimension ref="A1:N48"/>
  <sheetViews>
    <sheetView topLeftCell="A7" zoomScale="80" zoomScaleNormal="80" zoomScaleSheetLayoutView="100" workbookViewId="0">
      <selection activeCell="H18" sqref="H18"/>
    </sheetView>
  </sheetViews>
  <sheetFormatPr defaultRowHeight="15" x14ac:dyDescent="0.25"/>
  <cols>
    <col min="1" max="1" width="8.42578125" customWidth="1"/>
    <col min="2" max="2" width="4.42578125" customWidth="1"/>
    <col min="3" max="3" width="8.140625" customWidth="1"/>
    <col min="4" max="4" width="5.42578125" customWidth="1"/>
    <col min="5" max="5" width="8" customWidth="1"/>
    <col min="6" max="6" width="29.140625" customWidth="1"/>
    <col min="7" max="7" width="17.7109375" customWidth="1"/>
    <col min="8" max="8" width="14.85546875" customWidth="1"/>
    <col min="9" max="9" width="32.42578125" customWidth="1"/>
    <col min="10" max="10" width="9.5703125" customWidth="1"/>
    <col min="11" max="11" width="9.42578125" customWidth="1"/>
    <col min="12" max="12" width="4.5703125" customWidth="1"/>
  </cols>
  <sheetData>
    <row r="1" spans="1:14" ht="15" customHeight="1" thickTop="1" x14ac:dyDescent="0.25">
      <c r="A1" s="36"/>
      <c r="B1" s="37"/>
      <c r="C1" s="37"/>
      <c r="D1" s="37"/>
      <c r="E1" s="37"/>
      <c r="F1" s="37"/>
      <c r="G1" s="37"/>
      <c r="H1" s="37"/>
      <c r="I1" s="37"/>
      <c r="J1" s="37"/>
      <c r="K1" s="37"/>
      <c r="L1" s="37"/>
      <c r="M1" s="38"/>
    </row>
    <row r="2" spans="1:14" ht="20.25" thickBot="1" x14ac:dyDescent="0.3">
      <c r="A2" s="39"/>
      <c r="B2" s="40"/>
      <c r="C2" s="40"/>
      <c r="D2" s="40"/>
      <c r="E2" s="40"/>
      <c r="F2" s="40"/>
      <c r="G2" s="40"/>
      <c r="H2" s="40"/>
      <c r="I2" s="40"/>
      <c r="J2" s="40"/>
      <c r="K2" s="40"/>
      <c r="L2" s="41"/>
      <c r="M2" s="42"/>
    </row>
    <row r="3" spans="1:14" ht="19.5" x14ac:dyDescent="0.25">
      <c r="A3" s="43"/>
      <c r="B3" s="419" t="s">
        <v>108</v>
      </c>
      <c r="C3" s="420"/>
      <c r="D3" s="420"/>
      <c r="E3" s="420"/>
      <c r="F3" s="420"/>
      <c r="G3" s="420"/>
      <c r="H3" s="420"/>
      <c r="I3" s="420"/>
      <c r="J3" s="420"/>
      <c r="K3" s="420"/>
      <c r="L3" s="421"/>
      <c r="M3" s="42"/>
    </row>
    <row r="4" spans="1:14" ht="19.5" x14ac:dyDescent="0.25">
      <c r="A4" s="43"/>
      <c r="B4" s="422"/>
      <c r="C4" s="423"/>
      <c r="D4" s="423"/>
      <c r="E4" s="423"/>
      <c r="F4" s="423"/>
      <c r="G4" s="423"/>
      <c r="H4" s="423"/>
      <c r="I4" s="423"/>
      <c r="J4" s="423"/>
      <c r="K4" s="423"/>
      <c r="L4" s="424"/>
      <c r="M4" s="42"/>
    </row>
    <row r="5" spans="1:14" ht="19.5" x14ac:dyDescent="0.25">
      <c r="A5" s="43"/>
      <c r="B5" s="422"/>
      <c r="C5" s="423"/>
      <c r="D5" s="423"/>
      <c r="E5" s="423"/>
      <c r="F5" s="423"/>
      <c r="G5" s="423"/>
      <c r="H5" s="423"/>
      <c r="I5" s="423"/>
      <c r="J5" s="423"/>
      <c r="K5" s="423"/>
      <c r="L5" s="424"/>
      <c r="M5" s="42"/>
    </row>
    <row r="6" spans="1:14" ht="19.5" x14ac:dyDescent="0.25">
      <c r="A6" s="43"/>
      <c r="B6" s="422"/>
      <c r="C6" s="423"/>
      <c r="D6" s="423"/>
      <c r="E6" s="423"/>
      <c r="F6" s="423"/>
      <c r="G6" s="423"/>
      <c r="H6" s="423"/>
      <c r="I6" s="423"/>
      <c r="J6" s="423"/>
      <c r="K6" s="423"/>
      <c r="L6" s="424"/>
      <c r="M6" s="42"/>
    </row>
    <row r="7" spans="1:14" ht="16.5" customHeight="1" thickBot="1" x14ac:dyDescent="0.3">
      <c r="A7" s="43"/>
      <c r="B7" s="425"/>
      <c r="C7" s="426"/>
      <c r="D7" s="426"/>
      <c r="E7" s="426"/>
      <c r="F7" s="426"/>
      <c r="G7" s="426"/>
      <c r="H7" s="426"/>
      <c r="I7" s="426"/>
      <c r="J7" s="426"/>
      <c r="K7" s="426"/>
      <c r="L7" s="427"/>
      <c r="M7" s="42"/>
    </row>
    <row r="8" spans="1:14" ht="15" customHeight="1" x14ac:dyDescent="0.25">
      <c r="A8" s="43"/>
      <c r="B8" s="40"/>
      <c r="C8" s="40"/>
      <c r="D8" s="40"/>
      <c r="E8" s="40"/>
      <c r="F8" s="40"/>
      <c r="G8" s="40"/>
      <c r="H8" s="40"/>
      <c r="I8" s="40"/>
      <c r="J8" s="40"/>
      <c r="K8" s="40"/>
      <c r="L8" s="40"/>
      <c r="M8" s="42"/>
    </row>
    <row r="9" spans="1:14" ht="15" customHeight="1" x14ac:dyDescent="0.25">
      <c r="A9" s="43"/>
      <c r="B9" s="40"/>
      <c r="C9" s="40"/>
      <c r="D9" s="40"/>
      <c r="E9" s="40"/>
      <c r="F9" s="40"/>
      <c r="G9" s="40"/>
      <c r="H9" s="40"/>
      <c r="I9" s="40"/>
      <c r="J9" s="40"/>
      <c r="K9" s="40"/>
      <c r="L9" s="41"/>
      <c r="M9" s="42"/>
      <c r="N9" s="2"/>
    </row>
    <row r="10" spans="1:14" ht="19.5" x14ac:dyDescent="0.25">
      <c r="A10" s="43"/>
      <c r="B10" s="40"/>
      <c r="C10" s="40"/>
      <c r="D10" s="40"/>
      <c r="E10" s="40"/>
      <c r="F10" s="40"/>
      <c r="G10" s="40"/>
      <c r="H10" s="40"/>
      <c r="I10" s="40"/>
      <c r="J10" s="40"/>
      <c r="K10" s="40"/>
      <c r="L10" s="41"/>
      <c r="M10" s="42"/>
    </row>
    <row r="11" spans="1:14" ht="19.5" x14ac:dyDescent="0.25">
      <c r="A11" s="43"/>
      <c r="B11" s="40"/>
      <c r="C11" s="40"/>
      <c r="D11" s="40"/>
      <c r="E11" s="40"/>
      <c r="F11" s="40"/>
      <c r="G11" s="40"/>
      <c r="H11" s="40"/>
      <c r="I11" s="40"/>
      <c r="J11" s="40"/>
      <c r="K11" s="40"/>
      <c r="L11" s="41"/>
      <c r="M11" s="42"/>
    </row>
    <row r="12" spans="1:14" ht="19.5" x14ac:dyDescent="0.25">
      <c r="A12" s="43"/>
      <c r="B12" s="40"/>
      <c r="C12" s="40"/>
      <c r="D12" s="40"/>
      <c r="E12" s="40"/>
      <c r="F12" s="40"/>
      <c r="G12" s="40"/>
      <c r="H12" s="40"/>
      <c r="I12" s="40"/>
      <c r="J12" s="40"/>
      <c r="K12" s="40"/>
      <c r="L12" s="41"/>
      <c r="M12" s="42"/>
    </row>
    <row r="13" spans="1:14" ht="19.5" x14ac:dyDescent="0.25">
      <c r="A13" s="43"/>
      <c r="B13" s="40"/>
      <c r="C13" s="40"/>
      <c r="D13" s="40"/>
      <c r="E13" s="40"/>
      <c r="F13" s="40"/>
      <c r="G13" s="40"/>
      <c r="H13" s="40"/>
      <c r="I13" s="40"/>
      <c r="J13" s="40"/>
      <c r="K13" s="40"/>
      <c r="L13" s="41"/>
      <c r="M13" s="42"/>
    </row>
    <row r="14" spans="1:14" ht="19.5" x14ac:dyDescent="0.25">
      <c r="A14" s="43"/>
      <c r="B14" s="40"/>
      <c r="C14" s="40"/>
      <c r="D14" s="40"/>
      <c r="E14" s="40"/>
      <c r="F14" s="40"/>
      <c r="G14" s="40"/>
      <c r="H14" s="40"/>
      <c r="I14" s="40"/>
      <c r="J14" s="40"/>
      <c r="K14" s="40"/>
      <c r="L14" s="41"/>
      <c r="M14" s="42"/>
    </row>
    <row r="15" spans="1:14" ht="15" customHeight="1" thickBot="1" x14ac:dyDescent="0.3">
      <c r="A15" s="39"/>
      <c r="B15" s="41"/>
      <c r="C15" s="41"/>
      <c r="D15" s="41"/>
      <c r="E15" s="41"/>
      <c r="F15" s="41"/>
      <c r="G15" s="41"/>
      <c r="H15" s="41"/>
      <c r="I15" s="41"/>
      <c r="J15" s="41"/>
      <c r="K15" s="41"/>
      <c r="L15" s="41"/>
      <c r="M15" s="42"/>
    </row>
    <row r="16" spans="1:14" ht="22.7" customHeight="1" thickBot="1" x14ac:dyDescent="0.3">
      <c r="A16" s="39"/>
      <c r="B16" s="41"/>
      <c r="C16" s="41"/>
      <c r="D16" s="41"/>
      <c r="E16" s="41"/>
      <c r="F16" s="428" t="s">
        <v>28</v>
      </c>
      <c r="G16" s="429"/>
      <c r="H16" s="50" t="s">
        <v>27</v>
      </c>
      <c r="I16" s="51" t="s">
        <v>26</v>
      </c>
      <c r="J16" s="41"/>
      <c r="K16" s="41"/>
      <c r="L16" s="41"/>
      <c r="M16" s="42"/>
    </row>
    <row r="17" spans="1:13" ht="19.5" customHeight="1" x14ac:dyDescent="0.25">
      <c r="A17" s="39"/>
      <c r="B17" s="41"/>
      <c r="C17" s="41"/>
      <c r="D17" s="41"/>
      <c r="E17" s="41"/>
      <c r="F17" s="430" t="str">
        <f>IF('Pre Job'!C22="","",'Pre Job'!C22)</f>
        <v>Well A</v>
      </c>
      <c r="G17" s="431"/>
      <c r="H17" s="223">
        <v>20</v>
      </c>
      <c r="I17" s="4"/>
      <c r="J17" s="41"/>
      <c r="K17" s="41"/>
      <c r="L17" s="41"/>
      <c r="M17" s="42"/>
    </row>
    <row r="18" spans="1:13" ht="19.5" customHeight="1" x14ac:dyDescent="0.25">
      <c r="A18" s="39"/>
      <c r="B18" s="41"/>
      <c r="C18" s="41"/>
      <c r="D18" s="41"/>
      <c r="E18" s="41"/>
      <c r="F18" s="415" t="str">
        <f>IF('Pre Job'!C28="","",'Pre Job'!C28)</f>
        <v>Well B</v>
      </c>
      <c r="G18" s="416"/>
      <c r="H18" s="224">
        <v>30</v>
      </c>
      <c r="I18" s="5"/>
      <c r="J18" s="41"/>
      <c r="K18" s="41"/>
      <c r="L18" s="41"/>
      <c r="M18" s="42"/>
    </row>
    <row r="19" spans="1:13" ht="19.5" customHeight="1" x14ac:dyDescent="0.25">
      <c r="A19" s="39"/>
      <c r="B19" s="41"/>
      <c r="C19" s="41"/>
      <c r="D19" s="41"/>
      <c r="E19" s="41"/>
      <c r="F19" s="415" t="str">
        <f>IF('Pre Job'!C34="","",'Pre Job'!C34)</f>
        <v/>
      </c>
      <c r="G19" s="416"/>
      <c r="H19" s="224"/>
      <c r="I19" s="5"/>
      <c r="J19" s="41"/>
      <c r="K19" s="41"/>
      <c r="L19" s="41"/>
      <c r="M19" s="42"/>
    </row>
    <row r="20" spans="1:13" ht="19.5" customHeight="1" x14ac:dyDescent="0.25">
      <c r="A20" s="39"/>
      <c r="B20" s="41"/>
      <c r="C20" s="41"/>
      <c r="D20" s="41"/>
      <c r="E20" s="41"/>
      <c r="F20" s="415" t="str">
        <f>IF('Pre Job'!C40="","",'Pre Job'!C40)</f>
        <v/>
      </c>
      <c r="G20" s="416"/>
      <c r="H20" s="224"/>
      <c r="I20" s="5"/>
      <c r="J20" s="41"/>
      <c r="K20" s="41"/>
      <c r="L20" s="41"/>
      <c r="M20" s="42"/>
    </row>
    <row r="21" spans="1:13" ht="19.5" customHeight="1" thickBot="1" x14ac:dyDescent="0.3">
      <c r="A21" s="39"/>
      <c r="B21" s="41"/>
      <c r="C21" s="41"/>
      <c r="D21" s="41"/>
      <c r="E21" s="41"/>
      <c r="F21" s="417" t="str">
        <f>IF('Pre Job'!C46="","",'Pre Job'!C46)</f>
        <v/>
      </c>
      <c r="G21" s="418"/>
      <c r="H21" s="225"/>
      <c r="I21" s="6"/>
      <c r="J21" s="41"/>
      <c r="K21" s="41"/>
      <c r="L21" s="41"/>
      <c r="M21" s="42"/>
    </row>
    <row r="22" spans="1:13" x14ac:dyDescent="0.25">
      <c r="A22" s="39"/>
      <c r="B22" s="41"/>
      <c r="C22" s="41"/>
      <c r="D22" s="41"/>
      <c r="E22" s="41"/>
      <c r="F22" s="41"/>
      <c r="G22" s="41"/>
      <c r="H22" s="41"/>
      <c r="I22" s="41"/>
      <c r="J22" s="41"/>
      <c r="K22" s="41"/>
      <c r="L22" s="41"/>
      <c r="M22" s="42"/>
    </row>
    <row r="23" spans="1:13" x14ac:dyDescent="0.25">
      <c r="A23" s="39"/>
      <c r="B23" s="41"/>
      <c r="C23" s="41"/>
      <c r="D23" s="41"/>
      <c r="E23" s="41"/>
      <c r="F23" s="41"/>
      <c r="G23" s="41"/>
      <c r="H23" s="41"/>
      <c r="I23" s="41"/>
      <c r="J23" s="41"/>
      <c r="K23" s="41"/>
      <c r="L23" s="41"/>
      <c r="M23" s="42"/>
    </row>
    <row r="24" spans="1:13" x14ac:dyDescent="0.25">
      <c r="A24" s="39"/>
      <c r="B24" s="41"/>
      <c r="C24" s="41"/>
      <c r="D24" s="41"/>
      <c r="E24" s="41"/>
      <c r="F24" s="41"/>
      <c r="G24" s="41"/>
      <c r="H24" s="41"/>
      <c r="I24" s="41"/>
      <c r="J24" s="41"/>
      <c r="K24" s="41"/>
      <c r="L24" s="41"/>
      <c r="M24" s="42"/>
    </row>
    <row r="25" spans="1:13" x14ac:dyDescent="0.25">
      <c r="A25" s="39"/>
      <c r="B25" s="41"/>
      <c r="C25" s="41"/>
      <c r="D25" s="41"/>
      <c r="E25" s="41"/>
      <c r="F25" s="41"/>
      <c r="G25" s="41"/>
      <c r="H25" s="41"/>
      <c r="I25" s="41"/>
      <c r="J25" s="41"/>
      <c r="K25" s="41"/>
      <c r="L25" s="41"/>
      <c r="M25" s="42"/>
    </row>
    <row r="26" spans="1:13" x14ac:dyDescent="0.25">
      <c r="A26" s="39"/>
      <c r="B26" s="41"/>
      <c r="C26" s="41"/>
      <c r="D26" s="41"/>
      <c r="E26" s="41"/>
      <c r="F26" s="41"/>
      <c r="G26" s="41"/>
      <c r="H26" s="41"/>
      <c r="I26" s="41"/>
      <c r="J26" s="41"/>
      <c r="K26" s="48"/>
      <c r="L26" s="41"/>
      <c r="M26" s="42"/>
    </row>
    <row r="27" spans="1:13" x14ac:dyDescent="0.25">
      <c r="A27" s="39"/>
      <c r="B27" s="41"/>
      <c r="C27" s="41"/>
      <c r="D27" s="41"/>
      <c r="E27" s="41"/>
      <c r="F27" s="41"/>
      <c r="G27" s="41"/>
      <c r="H27" s="41"/>
      <c r="I27" s="41"/>
      <c r="J27" s="41"/>
      <c r="K27" s="41"/>
      <c r="L27" s="41"/>
      <c r="M27" s="42"/>
    </row>
    <row r="28" spans="1:13" x14ac:dyDescent="0.25">
      <c r="A28" s="39"/>
      <c r="B28" s="41"/>
      <c r="C28" s="41"/>
      <c r="D28" s="41"/>
      <c r="E28" s="41"/>
      <c r="F28" s="41"/>
      <c r="G28" s="41"/>
      <c r="H28" s="41"/>
      <c r="I28" s="41"/>
      <c r="J28" s="41"/>
      <c r="K28" s="41"/>
      <c r="L28" s="41"/>
      <c r="M28" s="42"/>
    </row>
    <row r="29" spans="1:13" x14ac:dyDescent="0.25">
      <c r="A29" s="39"/>
      <c r="B29" s="41"/>
      <c r="C29" s="41"/>
      <c r="D29" s="41"/>
      <c r="E29" s="41"/>
      <c r="F29" s="41"/>
      <c r="G29" s="41"/>
      <c r="H29" s="41"/>
      <c r="I29" s="41"/>
      <c r="J29" s="41"/>
      <c r="K29" s="41"/>
      <c r="L29" s="41"/>
      <c r="M29" s="42"/>
    </row>
    <row r="30" spans="1:13" x14ac:dyDescent="0.25">
      <c r="A30" s="44"/>
      <c r="B30" s="46"/>
      <c r="C30" s="46"/>
      <c r="D30" s="41"/>
      <c r="E30" s="41"/>
      <c r="F30" s="41"/>
      <c r="G30" s="41"/>
      <c r="H30" s="41"/>
      <c r="I30" s="41"/>
      <c r="J30" s="41"/>
      <c r="K30" s="41"/>
      <c r="L30" s="41"/>
      <c r="M30" s="42"/>
    </row>
    <row r="31" spans="1:13" x14ac:dyDescent="0.25">
      <c r="A31" s="44"/>
      <c r="B31" s="46"/>
      <c r="C31" s="46"/>
      <c r="D31" s="41"/>
      <c r="E31" s="41"/>
      <c r="F31" s="41"/>
      <c r="G31" s="41"/>
      <c r="H31" s="41"/>
      <c r="I31" s="41"/>
      <c r="J31" s="41"/>
      <c r="K31" s="41"/>
      <c r="L31" s="41"/>
      <c r="M31" s="42"/>
    </row>
    <row r="32" spans="1:13" x14ac:dyDescent="0.25">
      <c r="A32" s="44"/>
      <c r="B32" s="46"/>
      <c r="C32" s="46"/>
      <c r="D32" s="41"/>
      <c r="E32" s="41"/>
      <c r="F32" s="41"/>
      <c r="G32" s="41"/>
      <c r="H32" s="41"/>
      <c r="I32" s="41"/>
      <c r="J32" s="41"/>
      <c r="K32" s="41"/>
      <c r="L32" s="41"/>
      <c r="M32" s="42"/>
    </row>
    <row r="33" spans="1:13" x14ac:dyDescent="0.25">
      <c r="A33" s="44"/>
      <c r="B33" s="46"/>
      <c r="C33" s="46"/>
      <c r="D33" s="41"/>
      <c r="E33" s="41"/>
      <c r="F33" s="41"/>
      <c r="G33" s="41"/>
      <c r="H33" s="41"/>
      <c r="I33" s="41"/>
      <c r="J33" s="41"/>
      <c r="K33" s="41"/>
      <c r="L33" s="41"/>
      <c r="M33" s="42"/>
    </row>
    <row r="34" spans="1:13" x14ac:dyDescent="0.25">
      <c r="A34" s="44"/>
      <c r="B34" s="46"/>
      <c r="C34" s="46"/>
      <c r="D34" s="41"/>
      <c r="E34" s="41"/>
      <c r="F34" s="41"/>
      <c r="G34" s="41"/>
      <c r="H34" s="41"/>
      <c r="I34" s="41"/>
      <c r="J34" s="41"/>
      <c r="K34" s="41"/>
      <c r="L34" s="41"/>
      <c r="M34" s="42"/>
    </row>
    <row r="35" spans="1:13" x14ac:dyDescent="0.25">
      <c r="A35" s="44"/>
      <c r="B35" s="46"/>
      <c r="C35" s="46"/>
      <c r="D35" s="41"/>
      <c r="E35" s="41"/>
      <c r="F35" s="41"/>
      <c r="G35" s="41"/>
      <c r="H35" s="41"/>
      <c r="I35" s="41"/>
      <c r="J35" s="41"/>
      <c r="K35" s="41"/>
      <c r="L35" s="41"/>
      <c r="M35" s="42"/>
    </row>
    <row r="36" spans="1:13" x14ac:dyDescent="0.25">
      <c r="A36" s="44"/>
      <c r="B36" s="46"/>
      <c r="C36" s="46"/>
      <c r="D36" s="41"/>
      <c r="E36" s="41"/>
      <c r="F36" s="41"/>
      <c r="G36" s="41"/>
      <c r="H36" s="41"/>
      <c r="I36" s="41"/>
      <c r="J36" s="41"/>
      <c r="K36" s="41"/>
      <c r="L36" s="41"/>
      <c r="M36" s="42"/>
    </row>
    <row r="37" spans="1:13" x14ac:dyDescent="0.25">
      <c r="A37" s="44"/>
      <c r="B37" s="46"/>
      <c r="C37" s="46"/>
      <c r="D37" s="41"/>
      <c r="E37" s="41"/>
      <c r="F37" s="41"/>
      <c r="G37" s="41"/>
      <c r="H37" s="41"/>
      <c r="I37" s="41"/>
      <c r="J37" s="41"/>
      <c r="K37" s="41"/>
      <c r="L37" s="41"/>
      <c r="M37" s="42"/>
    </row>
    <row r="38" spans="1:13" x14ac:dyDescent="0.25">
      <c r="A38" s="39"/>
      <c r="B38" s="41"/>
      <c r="C38" s="41"/>
      <c r="D38" s="41"/>
      <c r="E38" s="41"/>
      <c r="F38" s="41"/>
      <c r="G38" s="41"/>
      <c r="H38" s="41"/>
      <c r="I38" s="41"/>
      <c r="J38" s="41"/>
      <c r="K38" s="41"/>
      <c r="L38" s="41"/>
      <c r="M38" s="42"/>
    </row>
    <row r="39" spans="1:13" x14ac:dyDescent="0.25">
      <c r="A39" s="39"/>
      <c r="B39" s="41"/>
      <c r="C39" s="41"/>
      <c r="D39" s="41"/>
      <c r="E39" s="41"/>
      <c r="F39" s="41"/>
      <c r="G39" s="41"/>
      <c r="H39" s="41"/>
      <c r="I39" s="41"/>
      <c r="J39" s="41"/>
      <c r="K39" s="41"/>
      <c r="L39" s="41"/>
      <c r="M39" s="42"/>
    </row>
    <row r="40" spans="1:13" x14ac:dyDescent="0.25">
      <c r="A40" s="39"/>
      <c r="B40" s="41"/>
      <c r="C40" s="41"/>
      <c r="D40" s="41"/>
      <c r="E40" s="41"/>
      <c r="F40" s="41"/>
      <c r="G40" s="41"/>
      <c r="H40" s="41"/>
      <c r="I40" s="41"/>
      <c r="J40" s="41"/>
      <c r="K40" s="41"/>
      <c r="L40" s="41"/>
      <c r="M40" s="42"/>
    </row>
    <row r="41" spans="1:13" x14ac:dyDescent="0.25">
      <c r="A41" s="39"/>
      <c r="B41" s="41"/>
      <c r="C41" s="41"/>
      <c r="D41" s="41"/>
      <c r="E41" s="41"/>
      <c r="F41" s="41"/>
      <c r="G41" s="41"/>
      <c r="H41" s="41"/>
      <c r="I41" s="41"/>
      <c r="J41" s="41"/>
      <c r="K41" s="41"/>
      <c r="L41" s="41"/>
      <c r="M41" s="42"/>
    </row>
    <row r="42" spans="1:13" x14ac:dyDescent="0.25">
      <c r="A42" s="39"/>
      <c r="B42" s="41"/>
      <c r="C42" s="41"/>
      <c r="D42" s="41"/>
      <c r="E42" s="41"/>
      <c r="F42" s="41"/>
      <c r="G42" s="41"/>
      <c r="H42" s="41"/>
      <c r="I42" s="41"/>
      <c r="J42" s="41"/>
      <c r="K42" s="41"/>
      <c r="L42" s="41"/>
      <c r="M42" s="42"/>
    </row>
    <row r="43" spans="1:13" x14ac:dyDescent="0.25">
      <c r="A43" s="39"/>
      <c r="B43" s="41"/>
      <c r="C43" s="41"/>
      <c r="D43" s="41"/>
      <c r="E43" s="41"/>
      <c r="F43" s="41"/>
      <c r="G43" s="41"/>
      <c r="H43" s="41"/>
      <c r="I43" s="41"/>
      <c r="J43" s="41"/>
      <c r="K43" s="41"/>
      <c r="L43" s="41"/>
      <c r="M43" s="42"/>
    </row>
    <row r="44" spans="1:13" x14ac:dyDescent="0.25">
      <c r="A44" s="39"/>
      <c r="B44" s="41"/>
      <c r="C44" s="41"/>
      <c r="D44" s="41"/>
      <c r="E44" s="41"/>
      <c r="F44" s="41"/>
      <c r="G44" s="41"/>
      <c r="H44" s="41"/>
      <c r="I44" s="41"/>
      <c r="J44" s="41"/>
      <c r="K44" s="41"/>
      <c r="L44" s="41"/>
      <c r="M44" s="42"/>
    </row>
    <row r="45" spans="1:13" x14ac:dyDescent="0.25">
      <c r="A45" s="39"/>
      <c r="B45" s="41"/>
      <c r="C45" s="41"/>
      <c r="D45" s="41"/>
      <c r="E45" s="41"/>
      <c r="F45" s="41"/>
      <c r="G45" s="41"/>
      <c r="H45" s="41"/>
      <c r="I45" s="41"/>
      <c r="J45" s="41"/>
      <c r="K45" s="41"/>
      <c r="L45" s="41"/>
      <c r="M45" s="42"/>
    </row>
    <row r="46" spans="1:13" x14ac:dyDescent="0.25">
      <c r="A46" s="39"/>
      <c r="B46" s="41"/>
      <c r="C46" s="41"/>
      <c r="D46" s="41"/>
      <c r="E46" s="41"/>
      <c r="F46" s="41"/>
      <c r="G46" s="41"/>
      <c r="H46" s="41"/>
      <c r="I46" s="41"/>
      <c r="J46" s="41"/>
      <c r="K46" s="41"/>
      <c r="L46" s="41"/>
      <c r="M46" s="42"/>
    </row>
    <row r="47" spans="1:13" ht="15.75" thickBot="1" x14ac:dyDescent="0.3">
      <c r="A47" s="45"/>
      <c r="B47" s="47"/>
      <c r="C47" s="47"/>
      <c r="D47" s="47"/>
      <c r="E47" s="47"/>
      <c r="F47" s="47"/>
      <c r="G47" s="47"/>
      <c r="H47" s="47"/>
      <c r="I47" s="47"/>
      <c r="J47" s="47"/>
      <c r="K47" s="47"/>
      <c r="L47" s="47"/>
      <c r="M47" s="49"/>
    </row>
    <row r="48" spans="1:13" ht="15.75" thickTop="1" x14ac:dyDescent="0.25"/>
  </sheetData>
  <sheetProtection sheet="1" objects="1" scenarios="1"/>
  <mergeCells count="7">
    <mergeCell ref="F20:G20"/>
    <mergeCell ref="F21:G21"/>
    <mergeCell ref="B3:L7"/>
    <mergeCell ref="F16:G16"/>
    <mergeCell ref="F17:G17"/>
    <mergeCell ref="F18:G18"/>
    <mergeCell ref="F19:G19"/>
  </mergeCells>
  <pageMargins left="0.7" right="0.7" top="0.75" bottom="0.75" header="0.3" footer="0.3"/>
  <pageSetup scale="4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locked="0" defaultSize="0" print="0" autoFill="0" autoPict="0" macro="[0]!CopySheet2">
                <anchor moveWithCells="1" sizeWithCells="1">
                  <from>
                    <xdr:col>8</xdr:col>
                    <xdr:colOff>9525</xdr:colOff>
                    <xdr:row>17</xdr:row>
                    <xdr:rowOff>9525</xdr:rowOff>
                  </from>
                  <to>
                    <xdr:col>8</xdr:col>
                    <xdr:colOff>2276475</xdr:colOff>
                    <xdr:row>17</xdr:row>
                    <xdr:rowOff>238125</xdr:rowOff>
                  </to>
                </anchor>
              </controlPr>
            </control>
          </mc:Choice>
        </mc:AlternateContent>
        <mc:AlternateContent xmlns:mc="http://schemas.openxmlformats.org/markup-compatibility/2006">
          <mc:Choice Requires="x14">
            <control shapeId="13316" r:id="rId5" name="Button 4">
              <controlPr locked="0" defaultSize="0" print="0" autoFill="0" autoPict="0" macro="[0]!CopySheet3">
                <anchor moveWithCells="1" sizeWithCells="1">
                  <from>
                    <xdr:col>8</xdr:col>
                    <xdr:colOff>9525</xdr:colOff>
                    <xdr:row>18</xdr:row>
                    <xdr:rowOff>9525</xdr:rowOff>
                  </from>
                  <to>
                    <xdr:col>8</xdr:col>
                    <xdr:colOff>2276475</xdr:colOff>
                    <xdr:row>18</xdr:row>
                    <xdr:rowOff>238125</xdr:rowOff>
                  </to>
                </anchor>
              </controlPr>
            </control>
          </mc:Choice>
        </mc:AlternateContent>
        <mc:AlternateContent xmlns:mc="http://schemas.openxmlformats.org/markup-compatibility/2006">
          <mc:Choice Requires="x14">
            <control shapeId="13317" r:id="rId6" name="Button 5">
              <controlPr locked="0" defaultSize="0" print="0" autoFill="0" autoPict="0" macro="[0]!CopySheet4">
                <anchor moveWithCells="1" sizeWithCells="1">
                  <from>
                    <xdr:col>8</xdr:col>
                    <xdr:colOff>9525</xdr:colOff>
                    <xdr:row>19</xdr:row>
                    <xdr:rowOff>9525</xdr:rowOff>
                  </from>
                  <to>
                    <xdr:col>8</xdr:col>
                    <xdr:colOff>2276475</xdr:colOff>
                    <xdr:row>19</xdr:row>
                    <xdr:rowOff>238125</xdr:rowOff>
                  </to>
                </anchor>
              </controlPr>
            </control>
          </mc:Choice>
        </mc:AlternateContent>
        <mc:AlternateContent xmlns:mc="http://schemas.openxmlformats.org/markup-compatibility/2006">
          <mc:Choice Requires="x14">
            <control shapeId="13318" r:id="rId7" name="Button 6">
              <controlPr locked="0" defaultSize="0" print="0" autoFill="0" autoPict="0" macro="[0]!CopySheet5">
                <anchor moveWithCells="1" sizeWithCells="1">
                  <from>
                    <xdr:col>8</xdr:col>
                    <xdr:colOff>9525</xdr:colOff>
                    <xdr:row>20</xdr:row>
                    <xdr:rowOff>9525</xdr:rowOff>
                  </from>
                  <to>
                    <xdr:col>8</xdr:col>
                    <xdr:colOff>2276475</xdr:colOff>
                    <xdr:row>20</xdr:row>
                    <xdr:rowOff>238125</xdr:rowOff>
                  </to>
                </anchor>
              </controlPr>
            </control>
          </mc:Choice>
        </mc:AlternateContent>
        <mc:AlternateContent xmlns:mc="http://schemas.openxmlformats.org/markup-compatibility/2006">
          <mc:Choice Requires="x14">
            <control shapeId="13319" r:id="rId8" name="Button 7">
              <controlPr locked="0" defaultSize="0" print="0" autoFill="0" autoPict="0" macro="[0]!CopySheet">
                <anchor moveWithCells="1" sizeWithCells="1">
                  <from>
                    <xdr:col>8</xdr:col>
                    <xdr:colOff>9525</xdr:colOff>
                    <xdr:row>16</xdr:row>
                    <xdr:rowOff>9525</xdr:rowOff>
                  </from>
                  <to>
                    <xdr:col>8</xdr:col>
                    <xdr:colOff>2276475</xdr:colOff>
                    <xdr:row>16</xdr:row>
                    <xdr:rowOff>238125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229"/>
      <c r="I11" s="165"/>
      <c r="J11" s="164" t="s">
        <v>64</v>
      </c>
      <c r="K11" s="464"/>
      <c r="L11" s="464"/>
      <c r="M11" s="160"/>
      <c r="O11" s="1"/>
    </row>
    <row r="12" spans="1:15" ht="15.75" x14ac:dyDescent="0.25">
      <c r="A12" s="163"/>
      <c r="B12" s="445" t="s">
        <v>39</v>
      </c>
      <c r="C12" s="445"/>
      <c r="D12" s="461"/>
      <c r="E12" s="461"/>
      <c r="F12" s="159"/>
      <c r="G12" s="200" t="s">
        <v>63</v>
      </c>
      <c r="H12" s="245"/>
      <c r="I12" s="165"/>
      <c r="J12" s="200" t="s">
        <v>112</v>
      </c>
      <c r="K12" s="465"/>
      <c r="L12" s="465"/>
      <c r="M12" s="160"/>
    </row>
    <row r="13" spans="1:15" ht="15.75" x14ac:dyDescent="0.25">
      <c r="A13" s="163"/>
      <c r="B13" s="445" t="s">
        <v>60</v>
      </c>
      <c r="C13" s="445"/>
      <c r="D13" s="462"/>
      <c r="E13" s="462"/>
      <c r="F13" s="159"/>
      <c r="G13" s="200" t="s">
        <v>183</v>
      </c>
      <c r="H13" s="245"/>
      <c r="I13" s="165"/>
      <c r="J13" s="200" t="s">
        <v>186</v>
      </c>
      <c r="K13" s="465"/>
      <c r="L13" s="465"/>
      <c r="M13" s="160"/>
    </row>
    <row r="14" spans="1:15" ht="16.5" thickBot="1" x14ac:dyDescent="0.3">
      <c r="A14" s="163"/>
      <c r="B14" s="446" t="s">
        <v>61</v>
      </c>
      <c r="C14" s="446"/>
      <c r="D14" s="463"/>
      <c r="E14" s="463"/>
      <c r="F14" s="159"/>
      <c r="G14" s="201" t="s">
        <v>65</v>
      </c>
      <c r="H14" s="228"/>
      <c r="I14" s="165"/>
      <c r="J14" s="201"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200" t="s">
        <v>7</v>
      </c>
      <c r="H20" s="245"/>
      <c r="I20" s="159"/>
      <c r="J20" s="164" t="s">
        <v>73</v>
      </c>
      <c r="K20" s="175"/>
      <c r="L20" s="176"/>
      <c r="M20" s="160"/>
    </row>
    <row r="21" spans="1:17" ht="15.75" x14ac:dyDescent="0.25">
      <c r="A21" s="172"/>
      <c r="B21" s="174"/>
      <c r="C21" s="445" t="s">
        <v>69</v>
      </c>
      <c r="D21" s="445"/>
      <c r="E21" s="244"/>
      <c r="F21" s="159"/>
      <c r="G21" s="200" t="s">
        <v>70</v>
      </c>
      <c r="H21" s="245"/>
      <c r="I21" s="159"/>
      <c r="J21" s="200" t="s">
        <v>74</v>
      </c>
      <c r="K21" s="177"/>
      <c r="L21" s="178"/>
      <c r="M21" s="160"/>
    </row>
    <row r="22" spans="1:17" ht="16.5" thickBot="1" x14ac:dyDescent="0.3">
      <c r="A22" s="172"/>
      <c r="B22" s="174"/>
      <c r="C22" s="468" t="s">
        <v>72</v>
      </c>
      <c r="D22" s="468"/>
      <c r="E22" s="245"/>
      <c r="F22" s="174"/>
      <c r="G22" s="200" t="s">
        <v>71</v>
      </c>
      <c r="H22" s="245"/>
      <c r="I22" s="174"/>
      <c r="J22" s="201" t="s">
        <v>75</v>
      </c>
      <c r="K22" s="179"/>
      <c r="L22" s="178"/>
      <c r="M22" s="160"/>
    </row>
    <row r="23" spans="1:17" ht="16.5" thickBot="1" x14ac:dyDescent="0.3">
      <c r="A23" s="172"/>
      <c r="B23" s="174"/>
      <c r="C23" s="469" t="s">
        <v>189</v>
      </c>
      <c r="D23" s="469"/>
      <c r="E23" s="228"/>
      <c r="F23" s="174"/>
      <c r="G23" s="201" t="s">
        <v>8</v>
      </c>
      <c r="H23" s="228"/>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229"/>
      <c r="L30" s="229"/>
      <c r="M30" s="160"/>
    </row>
    <row r="31" spans="1:17" ht="16.5" thickBot="1" x14ac:dyDescent="0.3">
      <c r="A31" s="180"/>
      <c r="B31" s="446" t="s">
        <v>80</v>
      </c>
      <c r="C31" s="446"/>
      <c r="D31" s="443"/>
      <c r="E31" s="443"/>
      <c r="F31" s="159"/>
      <c r="G31" s="198" t="s">
        <v>85</v>
      </c>
      <c r="H31" s="234"/>
      <c r="I31" s="159"/>
      <c r="J31" s="184" t="s">
        <v>92</v>
      </c>
      <c r="K31" s="230"/>
      <c r="L31" s="230"/>
      <c r="M31" s="160"/>
    </row>
    <row r="32" spans="1:17" ht="19.5" thickBot="1" x14ac:dyDescent="0.3">
      <c r="A32" s="180"/>
      <c r="B32" s="174"/>
      <c r="C32" s="174"/>
      <c r="D32" s="174"/>
      <c r="E32" s="174"/>
      <c r="F32" s="174"/>
      <c r="G32" s="199" t="s">
        <v>125</v>
      </c>
      <c r="H32" s="235"/>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198" t="s">
        <v>85</v>
      </c>
      <c r="H36" s="234"/>
      <c r="I36" s="159"/>
      <c r="J36" s="185" t="s">
        <v>96</v>
      </c>
      <c r="K36" s="231"/>
      <c r="L36" s="231"/>
      <c r="M36" s="160"/>
    </row>
    <row r="37" spans="1:13" ht="19.5" thickBot="1" x14ac:dyDescent="0.3">
      <c r="A37" s="180"/>
      <c r="B37" s="484"/>
      <c r="C37" s="484"/>
      <c r="D37" s="162"/>
      <c r="E37" s="159"/>
      <c r="F37" s="159"/>
      <c r="G37" s="199" t="s">
        <v>125</v>
      </c>
      <c r="H37" s="235"/>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203" t="s">
        <v>100</v>
      </c>
      <c r="C39" s="203" t="s">
        <v>83</v>
      </c>
      <c r="D39" s="203" t="s">
        <v>98</v>
      </c>
      <c r="E39" s="181" t="s">
        <v>99</v>
      </c>
      <c r="F39" s="159"/>
      <c r="G39" s="449" t="s">
        <v>87</v>
      </c>
      <c r="H39" s="450"/>
      <c r="I39" s="159"/>
      <c r="J39" s="159"/>
      <c r="K39" s="159"/>
      <c r="L39" s="159"/>
      <c r="M39" s="160"/>
    </row>
    <row r="40" spans="1:13" ht="15.75" x14ac:dyDescent="0.25">
      <c r="A40" s="180"/>
      <c r="B40" s="197" t="s">
        <v>101</v>
      </c>
      <c r="C40" s="236"/>
      <c r="D40" s="237"/>
      <c r="E40" s="238"/>
      <c r="F40" s="159"/>
      <c r="G40" s="187" t="s">
        <v>84</v>
      </c>
      <c r="H40" s="233"/>
      <c r="I40" s="159"/>
      <c r="J40" s="159"/>
      <c r="K40" s="159"/>
      <c r="L40" s="159"/>
      <c r="M40" s="160"/>
    </row>
    <row r="41" spans="1:13" ht="15.75" x14ac:dyDescent="0.25">
      <c r="A41" s="180"/>
      <c r="B41" s="198" t="s">
        <v>102</v>
      </c>
      <c r="C41" s="234"/>
      <c r="D41" s="239"/>
      <c r="E41" s="240"/>
      <c r="F41" s="159"/>
      <c r="G41" s="202" t="s">
        <v>85</v>
      </c>
      <c r="H41" s="234"/>
      <c r="I41" s="159"/>
      <c r="J41" s="159"/>
      <c r="K41" s="159"/>
      <c r="L41" s="159"/>
      <c r="M41" s="160"/>
    </row>
    <row r="42" spans="1:13" ht="19.5" thickBot="1" x14ac:dyDescent="0.3">
      <c r="A42" s="180"/>
      <c r="B42" s="188" t="s">
        <v>103</v>
      </c>
      <c r="C42" s="241"/>
      <c r="D42" s="241"/>
      <c r="E42" s="242"/>
      <c r="F42" s="159"/>
      <c r="G42" s="196" t="s">
        <v>125</v>
      </c>
      <c r="H42" s="235"/>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197" t="s">
        <v>3</v>
      </c>
      <c r="H49" s="226"/>
      <c r="I49" s="162"/>
      <c r="J49" s="197" t="s">
        <v>3</v>
      </c>
      <c r="K49" s="226"/>
      <c r="L49" s="159"/>
      <c r="M49" s="248"/>
    </row>
    <row r="50" spans="1:13" ht="15.75" x14ac:dyDescent="0.25">
      <c r="A50" s="180"/>
      <c r="B50" s="174"/>
      <c r="C50" s="190" t="s">
        <v>120</v>
      </c>
      <c r="D50" s="473"/>
      <c r="E50" s="474"/>
      <c r="F50" s="159"/>
      <c r="G50" s="198" t="s">
        <v>123</v>
      </c>
      <c r="H50" s="227"/>
      <c r="I50" s="159"/>
      <c r="J50" s="198" t="s">
        <v>123</v>
      </c>
      <c r="K50" s="227"/>
      <c r="L50" s="159"/>
      <c r="M50" s="160"/>
    </row>
    <row r="51" spans="1:13" ht="16.5" thickBot="1" x14ac:dyDescent="0.3">
      <c r="A51" s="180"/>
      <c r="B51" s="174"/>
      <c r="C51" s="190" t="s">
        <v>122</v>
      </c>
      <c r="D51" s="473"/>
      <c r="E51" s="474"/>
      <c r="F51" s="159"/>
      <c r="G51" s="201" t="s">
        <v>124</v>
      </c>
      <c r="H51" s="228"/>
      <c r="I51" s="159"/>
      <c r="J51" s="201" t="s">
        <v>124</v>
      </c>
      <c r="K51" s="228"/>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G39:H39"/>
    <mergeCell ref="D50:E50"/>
    <mergeCell ref="D51:E51"/>
    <mergeCell ref="D52:E52"/>
    <mergeCell ref="B34:C34"/>
    <mergeCell ref="D34:E34"/>
    <mergeCell ref="B35:C35"/>
    <mergeCell ref="D35:E35"/>
    <mergeCell ref="B45:L45"/>
    <mergeCell ref="B37:C37"/>
    <mergeCell ref="B38:E38"/>
    <mergeCell ref="J48:K48"/>
    <mergeCell ref="G48:H48"/>
    <mergeCell ref="C47:E47"/>
    <mergeCell ref="D48:E48"/>
    <mergeCell ref="D49:E49"/>
    <mergeCell ref="C20:D20"/>
    <mergeCell ref="C21:D21"/>
    <mergeCell ref="C22:D22"/>
    <mergeCell ref="C23:D23"/>
    <mergeCell ref="B26:L26"/>
    <mergeCell ref="J19:K19"/>
    <mergeCell ref="B2:L6"/>
    <mergeCell ref="B11:C11"/>
    <mergeCell ref="B12:C12"/>
    <mergeCell ref="B14:C14"/>
    <mergeCell ref="D11:E11"/>
    <mergeCell ref="D12:E12"/>
    <mergeCell ref="D13:E13"/>
    <mergeCell ref="D14:E14"/>
    <mergeCell ref="K11:L11"/>
    <mergeCell ref="K12:L12"/>
    <mergeCell ref="K13:L13"/>
    <mergeCell ref="K14:L14"/>
    <mergeCell ref="B13:C13"/>
    <mergeCell ref="B17:L17"/>
    <mergeCell ref="C19:D19"/>
    <mergeCell ref="J28:L28"/>
    <mergeCell ref="B36:C36"/>
    <mergeCell ref="D36:E36"/>
    <mergeCell ref="B33:E33"/>
    <mergeCell ref="G28:H28"/>
    <mergeCell ref="D30:E30"/>
    <mergeCell ref="D31:E31"/>
    <mergeCell ref="B28:C28"/>
    <mergeCell ref="B29:C29"/>
    <mergeCell ref="B30:C30"/>
    <mergeCell ref="B31:C31"/>
    <mergeCell ref="D28:E28"/>
    <mergeCell ref="D29:E29"/>
    <mergeCell ref="G29:H29"/>
    <mergeCell ref="G34:H34"/>
  </mergeCells>
  <conditionalFormatting sqref="G29">
    <cfRule type="expression" dxfId="62" priority="3">
      <formula>$AH$199=1</formula>
    </cfRule>
  </conditionalFormatting>
  <conditionalFormatting sqref="G39">
    <cfRule type="expression" dxfId="61" priority="1">
      <formula>$AH$199=3</formula>
    </cfRule>
  </conditionalFormatting>
  <conditionalFormatting sqref="G34">
    <cfRule type="expression" dxfId="60" priority="2">
      <formula>$AH$199=2</formula>
    </cfRule>
  </conditionalFormatting>
  <dataValidations count="5">
    <dataValidation type="list" allowBlank="1" showInputMessage="1" showErrorMessage="1" sqref="H14" xr:uid="{00000000-0002-0000-0200-000000000000}">
      <formula1>$AA$199:$AA$209</formula1>
    </dataValidation>
    <dataValidation type="list" allowBlank="1" showInputMessage="1" showErrorMessage="1" sqref="H23 H21" xr:uid="{00000000-0002-0000-0200-000001000000}">
      <formula1>$AC$199:$AC$203</formula1>
    </dataValidation>
    <dataValidation type="list" allowBlank="1" showInputMessage="1" showErrorMessage="1" sqref="K14:L14" xr:uid="{00000000-0002-0000-0200-000002000000}">
      <formula1>$AD$199:$AD$203</formula1>
    </dataValidation>
    <dataValidation type="list" allowBlank="1" showInputMessage="1" showErrorMessage="1" sqref="D48:E48" xr:uid="{00000000-0002-0000-0200-000003000000}">
      <formula1>$AF$199:$AF$203</formula1>
    </dataValidation>
    <dataValidation type="list" allowBlank="1" showInputMessage="1" showErrorMessage="1" sqref="K13:L13" xr:uid="{00000000-0002-0000-0200-000004000000}">
      <formula1>$AC$199:$AC$205</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5" r:id="rId4" name="Option Button 7">
              <controlPr defaultSize="0" autoFill="0" autoLine="0" autoPict="0">
                <anchor moveWithCells="1">
                  <from>
                    <xdr:col>6</xdr:col>
                    <xdr:colOff>28575</xdr:colOff>
                    <xdr:row>27</xdr:row>
                    <xdr:rowOff>190500</xdr:rowOff>
                  </from>
                  <to>
                    <xdr:col>6</xdr:col>
                    <xdr:colOff>295275</xdr:colOff>
                    <xdr:row>28</xdr:row>
                    <xdr:rowOff>200025</xdr:rowOff>
                  </to>
                </anchor>
              </controlPr>
            </control>
          </mc:Choice>
        </mc:AlternateContent>
        <mc:AlternateContent xmlns:mc="http://schemas.openxmlformats.org/markup-compatibility/2006">
          <mc:Choice Requires="x14">
            <control shapeId="43016" r:id="rId5" name="Option Button 8">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43017" r:id="rId6" name="Option Button 9">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theme="0" tint="-0.499984740745262"/>
    <pageSetUpPr fitToPage="1"/>
  </sheetPr>
  <dimension ref="A1:Z428"/>
  <sheetViews>
    <sheetView zoomScaleNormal="100" zoomScaleSheetLayoutView="100" workbookViewId="0">
      <selection activeCell="C13" sqref="C13"/>
    </sheetView>
  </sheetViews>
  <sheetFormatPr defaultColWidth="9.140625" defaultRowHeight="12.75" x14ac:dyDescent="0.2"/>
  <cols>
    <col min="1" max="1" width="8.7109375" style="3" customWidth="1"/>
    <col min="2" max="2" width="13.28515625" style="3" customWidth="1"/>
    <col min="3" max="3" width="23.5703125" style="3" customWidth="1"/>
    <col min="4" max="4" width="8.85546875" style="3" customWidth="1"/>
    <col min="5" max="5" width="13.140625" style="3" customWidth="1"/>
    <col min="6" max="6" width="8.42578125" style="3" customWidth="1"/>
    <col min="7" max="7" width="8.5703125" style="3" customWidth="1"/>
    <col min="8" max="8" width="13" style="3" customWidth="1"/>
    <col min="9" max="9" width="2" style="3" customWidth="1"/>
    <col min="10" max="10" width="13.28515625" style="3" customWidth="1"/>
    <col min="11" max="11" width="8.5703125" style="3" customWidth="1"/>
    <col min="12" max="12" width="10.7109375" style="3" customWidth="1"/>
    <col min="13" max="13" width="8.7109375" style="3" customWidth="1"/>
    <col min="14" max="20" width="9.140625" style="3"/>
    <col min="21" max="21" width="16.140625" style="3" customWidth="1"/>
    <col min="22" max="22" width="13.85546875" style="3" customWidth="1"/>
    <col min="23" max="23" width="9.140625" style="3"/>
    <col min="24" max="24" width="15.42578125" style="3" customWidth="1"/>
    <col min="25" max="16384" width="9.140625" style="3"/>
  </cols>
  <sheetData>
    <row r="1" spans="1:13" ht="15" customHeight="1" thickTop="1" thickBot="1" x14ac:dyDescent="0.25">
      <c r="A1" s="24"/>
      <c r="B1" s="25"/>
      <c r="C1" s="25"/>
      <c r="D1" s="25"/>
      <c r="E1" s="26"/>
      <c r="F1" s="27"/>
      <c r="G1" s="27"/>
      <c r="H1" s="27"/>
      <c r="I1" s="27"/>
      <c r="J1" s="25"/>
      <c r="K1" s="25"/>
      <c r="L1" s="28"/>
      <c r="M1" s="29"/>
    </row>
    <row r="2" spans="1:13" x14ac:dyDescent="0.2">
      <c r="A2" s="30"/>
      <c r="B2" s="493" t="s">
        <v>109</v>
      </c>
      <c r="C2" s="494"/>
      <c r="D2" s="494"/>
      <c r="E2" s="494"/>
      <c r="F2" s="494"/>
      <c r="G2" s="494"/>
      <c r="H2" s="494"/>
      <c r="I2" s="494"/>
      <c r="J2" s="494"/>
      <c r="K2" s="494"/>
      <c r="L2" s="495"/>
      <c r="M2" s="34"/>
    </row>
    <row r="3" spans="1:13" x14ac:dyDescent="0.2">
      <c r="A3" s="30"/>
      <c r="B3" s="496"/>
      <c r="C3" s="497"/>
      <c r="D3" s="497"/>
      <c r="E3" s="497"/>
      <c r="F3" s="497"/>
      <c r="G3" s="497"/>
      <c r="H3" s="497"/>
      <c r="I3" s="497"/>
      <c r="J3" s="497"/>
      <c r="K3" s="497"/>
      <c r="L3" s="498"/>
      <c r="M3" s="34"/>
    </row>
    <row r="4" spans="1:13" x14ac:dyDescent="0.2">
      <c r="A4" s="30"/>
      <c r="B4" s="496"/>
      <c r="C4" s="497"/>
      <c r="D4" s="497"/>
      <c r="E4" s="497"/>
      <c r="F4" s="497"/>
      <c r="G4" s="497"/>
      <c r="H4" s="497"/>
      <c r="I4" s="497"/>
      <c r="J4" s="497"/>
      <c r="K4" s="497"/>
      <c r="L4" s="498"/>
      <c r="M4" s="34"/>
    </row>
    <row r="5" spans="1:13" ht="13.7" customHeight="1" x14ac:dyDescent="0.2">
      <c r="A5" s="30"/>
      <c r="B5" s="496"/>
      <c r="C5" s="497"/>
      <c r="D5" s="497"/>
      <c r="E5" s="497"/>
      <c r="F5" s="497"/>
      <c r="G5" s="497"/>
      <c r="H5" s="497"/>
      <c r="I5" s="497"/>
      <c r="J5" s="497"/>
      <c r="K5" s="497"/>
      <c r="L5" s="498"/>
      <c r="M5" s="34"/>
    </row>
    <row r="6" spans="1:13" ht="13.7" customHeight="1" thickBot="1" x14ac:dyDescent="0.25">
      <c r="A6" s="31"/>
      <c r="B6" s="499"/>
      <c r="C6" s="500"/>
      <c r="D6" s="500"/>
      <c r="E6" s="500"/>
      <c r="F6" s="500"/>
      <c r="G6" s="500"/>
      <c r="H6" s="500"/>
      <c r="I6" s="500"/>
      <c r="J6" s="500"/>
      <c r="K6" s="500"/>
      <c r="L6" s="501"/>
      <c r="M6" s="34"/>
    </row>
    <row r="7" spans="1:13" ht="13.7" customHeight="1" x14ac:dyDescent="0.2">
      <c r="A7" s="32"/>
      <c r="B7" s="33"/>
      <c r="C7" s="33"/>
      <c r="D7" s="33"/>
      <c r="E7" s="33"/>
      <c r="F7" s="33"/>
      <c r="G7" s="33"/>
      <c r="H7" s="33"/>
      <c r="I7" s="33"/>
      <c r="J7" s="33"/>
      <c r="K7" s="33"/>
      <c r="L7" s="33"/>
      <c r="M7" s="34"/>
    </row>
    <row r="8" spans="1:13" s="7" customFormat="1" ht="13.7" customHeight="1" thickBot="1" x14ac:dyDescent="0.25">
      <c r="A8" s="32"/>
      <c r="B8" s="33"/>
      <c r="C8" s="33"/>
      <c r="D8" s="33"/>
      <c r="E8" s="33"/>
      <c r="F8" s="33"/>
      <c r="G8" s="33"/>
      <c r="H8" s="33"/>
      <c r="I8" s="33"/>
      <c r="J8" s="33"/>
      <c r="K8" s="33"/>
      <c r="L8" s="33"/>
      <c r="M8" s="34"/>
    </row>
    <row r="9" spans="1:13" s="7" customFormat="1" ht="16.5" customHeight="1" thickBot="1" x14ac:dyDescent="0.25">
      <c r="A9" s="32"/>
      <c r="B9" s="502" t="s">
        <v>110</v>
      </c>
      <c r="C9" s="503"/>
      <c r="D9" s="503"/>
      <c r="E9" s="503"/>
      <c r="F9" s="503"/>
      <c r="G9" s="503"/>
      <c r="H9" s="503"/>
      <c r="I9" s="503"/>
      <c r="J9" s="503"/>
      <c r="K9" s="503"/>
      <c r="L9" s="504"/>
      <c r="M9" s="34"/>
    </row>
    <row r="10" spans="1:13" s="7" customFormat="1" ht="16.5" customHeight="1" thickBot="1" x14ac:dyDescent="0.25">
      <c r="A10" s="32"/>
      <c r="B10" s="63" t="s">
        <v>10</v>
      </c>
      <c r="C10" s="62" t="s">
        <v>111</v>
      </c>
      <c r="D10" s="502" t="s">
        <v>83</v>
      </c>
      <c r="E10" s="503"/>
      <c r="F10" s="503"/>
      <c r="G10" s="503"/>
      <c r="H10" s="503"/>
      <c r="I10" s="503"/>
      <c r="J10" s="503"/>
      <c r="K10" s="503"/>
      <c r="L10" s="504"/>
      <c r="M10" s="34"/>
    </row>
    <row r="11" spans="1:13" s="7" customFormat="1" ht="16.5" customHeight="1" x14ac:dyDescent="0.2">
      <c r="A11" s="32"/>
      <c r="B11" s="122"/>
      <c r="C11" s="123"/>
      <c r="D11" s="492"/>
      <c r="E11" s="492"/>
      <c r="F11" s="492"/>
      <c r="G11" s="492"/>
      <c r="H11" s="492"/>
      <c r="I11" s="492"/>
      <c r="J11" s="492"/>
      <c r="K11" s="492"/>
      <c r="L11" s="492"/>
      <c r="M11" s="34"/>
    </row>
    <row r="12" spans="1:13" s="7" customFormat="1" ht="20.25" x14ac:dyDescent="0.2">
      <c r="A12" s="32"/>
      <c r="B12" s="124"/>
      <c r="C12" s="125"/>
      <c r="D12" s="490"/>
      <c r="E12" s="490"/>
      <c r="F12" s="490"/>
      <c r="G12" s="490"/>
      <c r="H12" s="490"/>
      <c r="I12" s="490"/>
      <c r="J12" s="490"/>
      <c r="K12" s="490"/>
      <c r="L12" s="490"/>
      <c r="M12" s="34"/>
    </row>
    <row r="13" spans="1:13" s="7" customFormat="1" ht="17.45" customHeight="1" x14ac:dyDescent="0.2">
      <c r="A13" s="32"/>
      <c r="B13" s="124"/>
      <c r="C13" s="125"/>
      <c r="D13" s="490"/>
      <c r="E13" s="490"/>
      <c r="F13" s="490"/>
      <c r="G13" s="490"/>
      <c r="H13" s="490"/>
      <c r="I13" s="490"/>
      <c r="J13" s="490"/>
      <c r="K13" s="490"/>
      <c r="L13" s="490"/>
      <c r="M13" s="34"/>
    </row>
    <row r="14" spans="1:13" s="7" customFormat="1" ht="16.5" customHeight="1" x14ac:dyDescent="0.2">
      <c r="A14" s="32"/>
      <c r="B14" s="124"/>
      <c r="C14" s="125"/>
      <c r="D14" s="490"/>
      <c r="E14" s="490"/>
      <c r="F14" s="490"/>
      <c r="G14" s="490"/>
      <c r="H14" s="490"/>
      <c r="I14" s="490"/>
      <c r="J14" s="490"/>
      <c r="K14" s="490"/>
      <c r="L14" s="490"/>
      <c r="M14" s="34"/>
    </row>
    <row r="15" spans="1:13" s="7" customFormat="1" ht="20.25" x14ac:dyDescent="0.2">
      <c r="A15" s="32"/>
      <c r="B15" s="124"/>
      <c r="C15" s="125"/>
      <c r="D15" s="490"/>
      <c r="E15" s="490"/>
      <c r="F15" s="490"/>
      <c r="G15" s="490"/>
      <c r="H15" s="490"/>
      <c r="I15" s="490"/>
      <c r="J15" s="490"/>
      <c r="K15" s="490"/>
      <c r="L15" s="490"/>
      <c r="M15" s="34"/>
    </row>
    <row r="16" spans="1:13" s="8" customFormat="1" ht="16.5" customHeight="1" x14ac:dyDescent="0.2">
      <c r="A16" s="32"/>
      <c r="B16" s="124"/>
      <c r="C16" s="125"/>
      <c r="D16" s="490"/>
      <c r="E16" s="490"/>
      <c r="F16" s="490"/>
      <c r="G16" s="490"/>
      <c r="H16" s="490"/>
      <c r="I16" s="490"/>
      <c r="J16" s="490"/>
      <c r="K16" s="490"/>
      <c r="L16" s="490"/>
      <c r="M16" s="34"/>
    </row>
    <row r="17" spans="1:13" s="7" customFormat="1" ht="18.75" customHeight="1" x14ac:dyDescent="0.2">
      <c r="A17" s="32"/>
      <c r="B17" s="124"/>
      <c r="C17" s="125"/>
      <c r="D17" s="490"/>
      <c r="E17" s="490"/>
      <c r="F17" s="490"/>
      <c r="G17" s="490"/>
      <c r="H17" s="490"/>
      <c r="I17" s="490"/>
      <c r="J17" s="490"/>
      <c r="K17" s="490"/>
      <c r="L17" s="490"/>
      <c r="M17" s="34"/>
    </row>
    <row r="18" spans="1:13" s="7" customFormat="1" ht="20.25" x14ac:dyDescent="0.2">
      <c r="A18" s="32"/>
      <c r="B18" s="124"/>
      <c r="C18" s="125"/>
      <c r="D18" s="490"/>
      <c r="E18" s="490"/>
      <c r="F18" s="490"/>
      <c r="G18" s="490"/>
      <c r="H18" s="490"/>
      <c r="I18" s="490"/>
      <c r="J18" s="490"/>
      <c r="K18" s="490"/>
      <c r="L18" s="490"/>
      <c r="M18" s="34"/>
    </row>
    <row r="19" spans="1:13" s="7" customFormat="1" ht="20.25" x14ac:dyDescent="0.2">
      <c r="A19" s="32"/>
      <c r="B19" s="124"/>
      <c r="C19" s="125"/>
      <c r="D19" s="490"/>
      <c r="E19" s="490"/>
      <c r="F19" s="490"/>
      <c r="G19" s="490"/>
      <c r="H19" s="490"/>
      <c r="I19" s="490"/>
      <c r="J19" s="490"/>
      <c r="K19" s="490"/>
      <c r="L19" s="490"/>
      <c r="M19" s="34"/>
    </row>
    <row r="20" spans="1:13" s="7" customFormat="1" ht="18.75" customHeight="1" x14ac:dyDescent="0.2">
      <c r="A20" s="32"/>
      <c r="B20" s="124"/>
      <c r="C20" s="125"/>
      <c r="D20" s="490"/>
      <c r="E20" s="490"/>
      <c r="F20" s="490"/>
      <c r="G20" s="490"/>
      <c r="H20" s="490"/>
      <c r="I20" s="490"/>
      <c r="J20" s="490"/>
      <c r="K20" s="490"/>
      <c r="L20" s="490"/>
      <c r="M20" s="34"/>
    </row>
    <row r="21" spans="1:13" s="7" customFormat="1" ht="20.25" x14ac:dyDescent="0.2">
      <c r="A21" s="32"/>
      <c r="B21" s="124"/>
      <c r="C21" s="125"/>
      <c r="D21" s="490"/>
      <c r="E21" s="490"/>
      <c r="F21" s="490"/>
      <c r="G21" s="490"/>
      <c r="H21" s="490"/>
      <c r="I21" s="490"/>
      <c r="J21" s="490"/>
      <c r="K21" s="490"/>
      <c r="L21" s="490"/>
      <c r="M21" s="34"/>
    </row>
    <row r="22" spans="1:13" s="7" customFormat="1" ht="20.25" x14ac:dyDescent="0.2">
      <c r="A22" s="32"/>
      <c r="B22" s="124"/>
      <c r="C22" s="125"/>
      <c r="D22" s="490"/>
      <c r="E22" s="490"/>
      <c r="F22" s="490"/>
      <c r="G22" s="490"/>
      <c r="H22" s="490"/>
      <c r="I22" s="490"/>
      <c r="J22" s="490"/>
      <c r="K22" s="490"/>
      <c r="L22" s="490"/>
      <c r="M22" s="34"/>
    </row>
    <row r="23" spans="1:13" s="7" customFormat="1" ht="20.25" x14ac:dyDescent="0.2">
      <c r="A23" s="32"/>
      <c r="B23" s="124"/>
      <c r="C23" s="125"/>
      <c r="D23" s="490"/>
      <c r="E23" s="490"/>
      <c r="F23" s="490"/>
      <c r="G23" s="490"/>
      <c r="H23" s="490"/>
      <c r="I23" s="490"/>
      <c r="J23" s="490"/>
      <c r="K23" s="490"/>
      <c r="L23" s="490"/>
      <c r="M23" s="34"/>
    </row>
    <row r="24" spans="1:13" s="7" customFormat="1" ht="20.25" x14ac:dyDescent="0.2">
      <c r="A24" s="32"/>
      <c r="B24" s="124"/>
      <c r="C24" s="125"/>
      <c r="D24" s="490"/>
      <c r="E24" s="490"/>
      <c r="F24" s="490"/>
      <c r="G24" s="490"/>
      <c r="H24" s="490"/>
      <c r="I24" s="490"/>
      <c r="J24" s="490"/>
      <c r="K24" s="490"/>
      <c r="L24" s="490"/>
      <c r="M24" s="34"/>
    </row>
    <row r="25" spans="1:13" s="7" customFormat="1" ht="20.25" x14ac:dyDescent="0.2">
      <c r="A25" s="32"/>
      <c r="B25" s="124"/>
      <c r="C25" s="125"/>
      <c r="D25" s="490"/>
      <c r="E25" s="490"/>
      <c r="F25" s="490"/>
      <c r="G25" s="490"/>
      <c r="H25" s="490"/>
      <c r="I25" s="490"/>
      <c r="J25" s="490"/>
      <c r="K25" s="490"/>
      <c r="L25" s="490"/>
      <c r="M25" s="34"/>
    </row>
    <row r="26" spans="1:13" s="7" customFormat="1" ht="20.25" x14ac:dyDescent="0.2">
      <c r="A26" s="32"/>
      <c r="B26" s="124"/>
      <c r="C26" s="125"/>
      <c r="D26" s="490"/>
      <c r="E26" s="490"/>
      <c r="F26" s="490"/>
      <c r="G26" s="490"/>
      <c r="H26" s="490"/>
      <c r="I26" s="490"/>
      <c r="J26" s="490"/>
      <c r="K26" s="490"/>
      <c r="L26" s="490"/>
      <c r="M26" s="34"/>
    </row>
    <row r="27" spans="1:13" s="7" customFormat="1" ht="20.25" x14ac:dyDescent="0.2">
      <c r="A27" s="32"/>
      <c r="B27" s="124"/>
      <c r="C27" s="125"/>
      <c r="D27" s="490"/>
      <c r="E27" s="490"/>
      <c r="F27" s="490"/>
      <c r="G27" s="490"/>
      <c r="H27" s="490"/>
      <c r="I27" s="490"/>
      <c r="J27" s="490"/>
      <c r="K27" s="490"/>
      <c r="L27" s="490"/>
      <c r="M27" s="34"/>
    </row>
    <row r="28" spans="1:13" s="7" customFormat="1" ht="20.25" x14ac:dyDescent="0.2">
      <c r="A28" s="32"/>
      <c r="B28" s="124"/>
      <c r="C28" s="125"/>
      <c r="D28" s="490"/>
      <c r="E28" s="490"/>
      <c r="F28" s="490"/>
      <c r="G28" s="490"/>
      <c r="H28" s="490"/>
      <c r="I28" s="490"/>
      <c r="J28" s="490"/>
      <c r="K28" s="490"/>
      <c r="L28" s="490"/>
      <c r="M28" s="34"/>
    </row>
    <row r="29" spans="1:13" s="7" customFormat="1" ht="20.25" x14ac:dyDescent="0.2">
      <c r="A29" s="32"/>
      <c r="B29" s="124"/>
      <c r="C29" s="125"/>
      <c r="D29" s="490"/>
      <c r="E29" s="490"/>
      <c r="F29" s="490"/>
      <c r="G29" s="490"/>
      <c r="H29" s="490"/>
      <c r="I29" s="490"/>
      <c r="J29" s="490"/>
      <c r="K29" s="490"/>
      <c r="L29" s="490"/>
      <c r="M29" s="34"/>
    </row>
    <row r="30" spans="1:13" s="7" customFormat="1" ht="20.25" x14ac:dyDescent="0.2">
      <c r="A30" s="32"/>
      <c r="B30" s="124"/>
      <c r="C30" s="125"/>
      <c r="D30" s="490"/>
      <c r="E30" s="490"/>
      <c r="F30" s="490"/>
      <c r="G30" s="490"/>
      <c r="H30" s="490"/>
      <c r="I30" s="490"/>
      <c r="J30" s="490"/>
      <c r="K30" s="490"/>
      <c r="L30" s="490"/>
      <c r="M30" s="34"/>
    </row>
    <row r="31" spans="1:13" s="7" customFormat="1" ht="20.25" x14ac:dyDescent="0.2">
      <c r="A31" s="32"/>
      <c r="B31" s="124"/>
      <c r="C31" s="125"/>
      <c r="D31" s="490"/>
      <c r="E31" s="490"/>
      <c r="F31" s="490"/>
      <c r="G31" s="490"/>
      <c r="H31" s="490"/>
      <c r="I31" s="490"/>
      <c r="J31" s="490"/>
      <c r="K31" s="490"/>
      <c r="L31" s="490"/>
      <c r="M31" s="34"/>
    </row>
    <row r="32" spans="1:13" s="7" customFormat="1" ht="20.25" x14ac:dyDescent="0.2">
      <c r="A32" s="32"/>
      <c r="B32" s="124"/>
      <c r="C32" s="125"/>
      <c r="D32" s="490"/>
      <c r="E32" s="490"/>
      <c r="F32" s="490"/>
      <c r="G32" s="490"/>
      <c r="H32" s="490"/>
      <c r="I32" s="490"/>
      <c r="J32" s="490"/>
      <c r="K32" s="490"/>
      <c r="L32" s="490"/>
      <c r="M32" s="34"/>
    </row>
    <row r="33" spans="1:26" s="7" customFormat="1" ht="20.25" x14ac:dyDescent="0.2">
      <c r="A33" s="32"/>
      <c r="B33" s="124"/>
      <c r="C33" s="125"/>
      <c r="D33" s="490"/>
      <c r="E33" s="490"/>
      <c r="F33" s="490"/>
      <c r="G33" s="490"/>
      <c r="H33" s="490"/>
      <c r="I33" s="490"/>
      <c r="J33" s="490"/>
      <c r="K33" s="490"/>
      <c r="L33" s="490"/>
      <c r="M33" s="34"/>
    </row>
    <row r="34" spans="1:26" s="7" customFormat="1" ht="20.25" x14ac:dyDescent="0.2">
      <c r="A34" s="32"/>
      <c r="B34" s="124"/>
      <c r="C34" s="125"/>
      <c r="D34" s="490"/>
      <c r="E34" s="490"/>
      <c r="F34" s="490"/>
      <c r="G34" s="490"/>
      <c r="H34" s="490"/>
      <c r="I34" s="490"/>
      <c r="J34" s="490"/>
      <c r="K34" s="490"/>
      <c r="L34" s="490"/>
      <c r="M34" s="34"/>
    </row>
    <row r="35" spans="1:26" s="7" customFormat="1" ht="20.25" x14ac:dyDescent="0.2">
      <c r="A35" s="32"/>
      <c r="B35" s="124"/>
      <c r="C35" s="125"/>
      <c r="D35" s="490"/>
      <c r="E35" s="490"/>
      <c r="F35" s="490"/>
      <c r="G35" s="490"/>
      <c r="H35" s="490"/>
      <c r="I35" s="490"/>
      <c r="J35" s="490"/>
      <c r="K35" s="490"/>
      <c r="L35" s="490"/>
      <c r="M35" s="34"/>
    </row>
    <row r="36" spans="1:26" s="7" customFormat="1" ht="20.25" x14ac:dyDescent="0.25">
      <c r="A36" s="32"/>
      <c r="B36" s="124"/>
      <c r="C36" s="125"/>
      <c r="D36" s="490"/>
      <c r="E36" s="490"/>
      <c r="F36" s="490"/>
      <c r="G36" s="490"/>
      <c r="H36" s="490"/>
      <c r="I36" s="490"/>
      <c r="J36" s="490"/>
      <c r="K36" s="490"/>
      <c r="L36" s="490"/>
      <c r="M36" s="34"/>
      <c r="N36" s="14"/>
      <c r="U36" s="9"/>
      <c r="X36" s="9"/>
      <c r="Z36" s="9"/>
    </row>
    <row r="37" spans="1:26" s="7" customFormat="1" ht="20.25" x14ac:dyDescent="0.25">
      <c r="A37" s="32"/>
      <c r="B37" s="124"/>
      <c r="C37" s="125"/>
      <c r="D37" s="490"/>
      <c r="E37" s="490"/>
      <c r="F37" s="490"/>
      <c r="G37" s="490"/>
      <c r="H37" s="490"/>
      <c r="I37" s="490"/>
      <c r="J37" s="490"/>
      <c r="K37" s="490"/>
      <c r="L37" s="490"/>
      <c r="M37" s="34"/>
      <c r="U37" s="9"/>
      <c r="X37" s="9"/>
      <c r="Z37" s="9"/>
    </row>
    <row r="38" spans="1:26" s="7" customFormat="1" ht="20.25" x14ac:dyDescent="0.2">
      <c r="A38" s="32"/>
      <c r="B38" s="124"/>
      <c r="C38" s="125"/>
      <c r="D38" s="490"/>
      <c r="E38" s="490"/>
      <c r="F38" s="490"/>
      <c r="G38" s="490"/>
      <c r="H38" s="490"/>
      <c r="I38" s="490"/>
      <c r="J38" s="490"/>
      <c r="K38" s="490"/>
      <c r="L38" s="490"/>
      <c r="M38" s="34"/>
      <c r="U38" s="10"/>
      <c r="V38" s="10"/>
      <c r="X38" s="13"/>
    </row>
    <row r="39" spans="1:26" s="7" customFormat="1" ht="20.25" x14ac:dyDescent="0.2">
      <c r="A39" s="32"/>
      <c r="B39" s="124"/>
      <c r="C39" s="125"/>
      <c r="D39" s="490"/>
      <c r="E39" s="490"/>
      <c r="F39" s="490"/>
      <c r="G39" s="490"/>
      <c r="H39" s="490"/>
      <c r="I39" s="490"/>
      <c r="J39" s="490"/>
      <c r="K39" s="490"/>
      <c r="L39" s="490"/>
      <c r="M39" s="34"/>
      <c r="U39" s="10"/>
      <c r="X39" s="11"/>
    </row>
    <row r="40" spans="1:26" s="7" customFormat="1" ht="20.25" x14ac:dyDescent="0.2">
      <c r="A40" s="32"/>
      <c r="B40" s="124"/>
      <c r="C40" s="125"/>
      <c r="D40" s="490"/>
      <c r="E40" s="490"/>
      <c r="F40" s="490"/>
      <c r="G40" s="490"/>
      <c r="H40" s="490"/>
      <c r="I40" s="490"/>
      <c r="J40" s="490"/>
      <c r="K40" s="490"/>
      <c r="L40" s="490"/>
      <c r="M40" s="34"/>
      <c r="U40" s="10"/>
      <c r="X40" s="13"/>
    </row>
    <row r="41" spans="1:26" s="7" customFormat="1" ht="20.25" x14ac:dyDescent="0.2">
      <c r="A41" s="32"/>
      <c r="B41" s="124"/>
      <c r="C41" s="125"/>
      <c r="D41" s="490"/>
      <c r="E41" s="490"/>
      <c r="F41" s="490"/>
      <c r="G41" s="490"/>
      <c r="H41" s="490"/>
      <c r="I41" s="490"/>
      <c r="J41" s="490"/>
      <c r="K41" s="490"/>
      <c r="L41" s="490"/>
      <c r="M41" s="34"/>
      <c r="U41" s="10"/>
      <c r="V41" s="10"/>
      <c r="X41" s="13"/>
    </row>
    <row r="42" spans="1:26" s="7" customFormat="1" ht="20.25" x14ac:dyDescent="0.2">
      <c r="A42" s="32"/>
      <c r="B42" s="124"/>
      <c r="C42" s="125"/>
      <c r="D42" s="490"/>
      <c r="E42" s="490"/>
      <c r="F42" s="490"/>
      <c r="G42" s="490"/>
      <c r="H42" s="490"/>
      <c r="I42" s="490"/>
      <c r="J42" s="490"/>
      <c r="K42" s="490"/>
      <c r="L42" s="490"/>
      <c r="M42" s="34"/>
      <c r="X42" s="13"/>
    </row>
    <row r="43" spans="1:26" s="7" customFormat="1" ht="20.25" x14ac:dyDescent="0.2">
      <c r="A43" s="32"/>
      <c r="B43" s="124"/>
      <c r="C43" s="125"/>
      <c r="D43" s="490"/>
      <c r="E43" s="490"/>
      <c r="F43" s="490"/>
      <c r="G43" s="490"/>
      <c r="H43" s="490"/>
      <c r="I43" s="490"/>
      <c r="J43" s="490"/>
      <c r="K43" s="490"/>
      <c r="L43" s="490"/>
      <c r="M43" s="34"/>
      <c r="P43" s="14"/>
      <c r="U43" s="10"/>
      <c r="V43" s="10"/>
      <c r="X43" s="13"/>
    </row>
    <row r="44" spans="1:26" s="7" customFormat="1" ht="20.25" x14ac:dyDescent="0.2">
      <c r="A44" s="32"/>
      <c r="B44" s="124"/>
      <c r="C44" s="125"/>
      <c r="D44" s="490"/>
      <c r="E44" s="490"/>
      <c r="F44" s="490"/>
      <c r="G44" s="490"/>
      <c r="H44" s="490"/>
      <c r="I44" s="490"/>
      <c r="J44" s="490"/>
      <c r="K44" s="490"/>
      <c r="L44" s="490"/>
      <c r="M44" s="34"/>
      <c r="U44" s="10"/>
      <c r="V44" s="10"/>
      <c r="X44" s="13"/>
    </row>
    <row r="45" spans="1:26" s="7" customFormat="1" ht="20.25" x14ac:dyDescent="0.2">
      <c r="A45" s="32"/>
      <c r="B45" s="124"/>
      <c r="C45" s="125"/>
      <c r="D45" s="490"/>
      <c r="E45" s="490"/>
      <c r="F45" s="490"/>
      <c r="G45" s="490"/>
      <c r="H45" s="490"/>
      <c r="I45" s="490"/>
      <c r="J45" s="490"/>
      <c r="K45" s="490"/>
      <c r="L45" s="490"/>
      <c r="M45" s="34"/>
      <c r="U45" s="10"/>
      <c r="V45" s="10"/>
      <c r="X45" s="13"/>
    </row>
    <row r="46" spans="1:26" s="7" customFormat="1" ht="20.25" x14ac:dyDescent="0.2">
      <c r="A46" s="32"/>
      <c r="B46" s="124"/>
      <c r="C46" s="125"/>
      <c r="D46" s="490"/>
      <c r="E46" s="490"/>
      <c r="F46" s="490"/>
      <c r="G46" s="490"/>
      <c r="H46" s="490"/>
      <c r="I46" s="490"/>
      <c r="J46" s="490"/>
      <c r="K46" s="490"/>
      <c r="L46" s="490"/>
      <c r="M46" s="34"/>
      <c r="U46" s="10"/>
      <c r="V46" s="10"/>
      <c r="X46" s="13"/>
    </row>
    <row r="47" spans="1:26" s="7" customFormat="1" ht="20.25" x14ac:dyDescent="0.2">
      <c r="A47" s="32"/>
      <c r="B47" s="124"/>
      <c r="C47" s="125"/>
      <c r="D47" s="490"/>
      <c r="E47" s="490"/>
      <c r="F47" s="490"/>
      <c r="G47" s="490"/>
      <c r="H47" s="490"/>
      <c r="I47" s="490"/>
      <c r="J47" s="490"/>
      <c r="K47" s="490"/>
      <c r="L47" s="490"/>
      <c r="M47" s="34"/>
      <c r="U47" s="10"/>
      <c r="V47" s="10"/>
    </row>
    <row r="48" spans="1:26" s="7" customFormat="1" ht="20.25" x14ac:dyDescent="0.25">
      <c r="A48" s="32"/>
      <c r="B48" s="124"/>
      <c r="C48" s="125"/>
      <c r="D48" s="490"/>
      <c r="E48" s="490"/>
      <c r="F48" s="490"/>
      <c r="G48" s="490"/>
      <c r="H48" s="490"/>
      <c r="I48" s="490"/>
      <c r="J48" s="490"/>
      <c r="K48" s="490"/>
      <c r="L48" s="490"/>
      <c r="M48" s="34"/>
      <c r="U48" s="9"/>
    </row>
    <row r="49" spans="1:21" s="7" customFormat="1" ht="20.25" x14ac:dyDescent="0.2">
      <c r="A49" s="32"/>
      <c r="B49" s="124"/>
      <c r="C49" s="125"/>
      <c r="D49" s="490"/>
      <c r="E49" s="490"/>
      <c r="F49" s="490"/>
      <c r="G49" s="490"/>
      <c r="H49" s="490"/>
      <c r="I49" s="490"/>
      <c r="J49" s="490"/>
      <c r="K49" s="490"/>
      <c r="L49" s="490"/>
      <c r="M49" s="34"/>
    </row>
    <row r="50" spans="1:21" s="7" customFormat="1" ht="20.25" x14ac:dyDescent="0.2">
      <c r="A50" s="32"/>
      <c r="B50" s="124"/>
      <c r="C50" s="125"/>
      <c r="D50" s="490"/>
      <c r="E50" s="490"/>
      <c r="F50" s="490"/>
      <c r="G50" s="490"/>
      <c r="H50" s="490"/>
      <c r="I50" s="490"/>
      <c r="J50" s="490"/>
      <c r="K50" s="490"/>
      <c r="L50" s="490"/>
      <c r="M50" s="34"/>
    </row>
    <row r="51" spans="1:21" s="7" customFormat="1" ht="20.25" x14ac:dyDescent="0.2">
      <c r="A51" s="32"/>
      <c r="B51" s="124"/>
      <c r="C51" s="125"/>
      <c r="D51" s="490"/>
      <c r="E51" s="490"/>
      <c r="F51" s="490"/>
      <c r="G51" s="490"/>
      <c r="H51" s="490"/>
      <c r="I51" s="490"/>
      <c r="J51" s="490"/>
      <c r="K51" s="490"/>
      <c r="L51" s="490"/>
      <c r="M51" s="34"/>
    </row>
    <row r="52" spans="1:21" s="7" customFormat="1" ht="20.25" x14ac:dyDescent="0.2">
      <c r="A52" s="32"/>
      <c r="B52" s="124"/>
      <c r="C52" s="125"/>
      <c r="D52" s="490"/>
      <c r="E52" s="490"/>
      <c r="F52" s="490"/>
      <c r="G52" s="490"/>
      <c r="H52" s="490"/>
      <c r="I52" s="490"/>
      <c r="J52" s="490"/>
      <c r="K52" s="490"/>
      <c r="L52" s="490"/>
      <c r="M52" s="34"/>
    </row>
    <row r="53" spans="1:21" s="7" customFormat="1" ht="20.25" x14ac:dyDescent="0.2">
      <c r="A53" s="32"/>
      <c r="B53" s="124"/>
      <c r="C53" s="125"/>
      <c r="D53" s="490"/>
      <c r="E53" s="490"/>
      <c r="F53" s="490"/>
      <c r="G53" s="490"/>
      <c r="H53" s="490"/>
      <c r="I53" s="490"/>
      <c r="J53" s="490"/>
      <c r="K53" s="490"/>
      <c r="L53" s="490"/>
      <c r="M53" s="34"/>
      <c r="N53" s="12"/>
    </row>
    <row r="54" spans="1:21" s="7" customFormat="1" ht="20.25" x14ac:dyDescent="0.2">
      <c r="A54" s="32"/>
      <c r="B54" s="124"/>
      <c r="C54" s="125"/>
      <c r="D54" s="490"/>
      <c r="E54" s="490"/>
      <c r="F54" s="490"/>
      <c r="G54" s="490"/>
      <c r="H54" s="490"/>
      <c r="I54" s="490"/>
      <c r="J54" s="490"/>
      <c r="K54" s="490"/>
      <c r="L54" s="490"/>
      <c r="M54" s="34"/>
      <c r="N54" s="12"/>
    </row>
    <row r="55" spans="1:21" s="7" customFormat="1" ht="20.25" x14ac:dyDescent="0.2">
      <c r="A55" s="32"/>
      <c r="B55" s="124"/>
      <c r="C55" s="125"/>
      <c r="D55" s="490"/>
      <c r="E55" s="490"/>
      <c r="F55" s="490"/>
      <c r="G55" s="490"/>
      <c r="H55" s="490"/>
      <c r="I55" s="490"/>
      <c r="J55" s="490"/>
      <c r="K55" s="490"/>
      <c r="L55" s="490"/>
      <c r="M55" s="34"/>
    </row>
    <row r="56" spans="1:21" s="7" customFormat="1" ht="20.25" x14ac:dyDescent="0.2">
      <c r="A56" s="32"/>
      <c r="B56" s="124"/>
      <c r="C56" s="125"/>
      <c r="D56" s="490"/>
      <c r="E56" s="490"/>
      <c r="F56" s="490"/>
      <c r="G56" s="490"/>
      <c r="H56" s="490"/>
      <c r="I56" s="490"/>
      <c r="J56" s="490"/>
      <c r="K56" s="490"/>
      <c r="L56" s="490"/>
      <c r="M56" s="34"/>
    </row>
    <row r="57" spans="1:21" s="7" customFormat="1" ht="20.25" x14ac:dyDescent="0.2">
      <c r="A57" s="32"/>
      <c r="B57" s="124"/>
      <c r="C57" s="125"/>
      <c r="D57" s="490"/>
      <c r="E57" s="490"/>
      <c r="F57" s="490"/>
      <c r="G57" s="490"/>
      <c r="H57" s="490"/>
      <c r="I57" s="490"/>
      <c r="J57" s="490"/>
      <c r="K57" s="490"/>
      <c r="L57" s="490"/>
      <c r="M57" s="34"/>
    </row>
    <row r="58" spans="1:21" s="7" customFormat="1" ht="20.25" x14ac:dyDescent="0.2">
      <c r="A58" s="32"/>
      <c r="B58" s="124"/>
      <c r="C58" s="125"/>
      <c r="D58" s="490"/>
      <c r="E58" s="490"/>
      <c r="F58" s="490"/>
      <c r="G58" s="490"/>
      <c r="H58" s="490"/>
      <c r="I58" s="490"/>
      <c r="J58" s="490"/>
      <c r="K58" s="490"/>
      <c r="L58" s="490"/>
      <c r="M58" s="34"/>
    </row>
    <row r="59" spans="1:21" s="7" customFormat="1" ht="20.25" x14ac:dyDescent="0.2">
      <c r="A59" s="32"/>
      <c r="B59" s="124"/>
      <c r="C59" s="125"/>
      <c r="D59" s="490"/>
      <c r="E59" s="490"/>
      <c r="F59" s="490"/>
      <c r="G59" s="490"/>
      <c r="H59" s="490"/>
      <c r="I59" s="490"/>
      <c r="J59" s="490"/>
      <c r="K59" s="490"/>
      <c r="L59" s="490"/>
      <c r="M59" s="34"/>
    </row>
    <row r="60" spans="1:21" s="7" customFormat="1" ht="21" thickBot="1" x14ac:dyDescent="0.25">
      <c r="A60" s="32"/>
      <c r="B60" s="126"/>
      <c r="C60" s="127"/>
      <c r="D60" s="491"/>
      <c r="E60" s="491"/>
      <c r="F60" s="491"/>
      <c r="G60" s="491"/>
      <c r="H60" s="491"/>
      <c r="I60" s="491"/>
      <c r="J60" s="491"/>
      <c r="K60" s="491"/>
      <c r="L60" s="491"/>
      <c r="M60" s="34"/>
    </row>
    <row r="61" spans="1:21" s="7" customFormat="1" ht="21" thickBot="1" x14ac:dyDescent="0.3">
      <c r="A61" s="32"/>
      <c r="B61" s="33"/>
      <c r="C61" s="33"/>
      <c r="D61" s="33"/>
      <c r="E61" s="33"/>
      <c r="F61" s="33"/>
      <c r="G61" s="33"/>
      <c r="H61" s="33"/>
      <c r="I61" s="33"/>
      <c r="J61" s="33"/>
      <c r="K61" s="33"/>
      <c r="L61" s="33"/>
      <c r="M61" s="34"/>
      <c r="U61" s="9"/>
    </row>
    <row r="62" spans="1:21" s="7" customFormat="1" ht="24.75" thickTop="1" thickBot="1" x14ac:dyDescent="0.25">
      <c r="A62" s="24"/>
      <c r="B62" s="25"/>
      <c r="C62" s="25"/>
      <c r="D62" s="25"/>
      <c r="E62" s="26"/>
      <c r="F62" s="27"/>
      <c r="G62" s="27"/>
      <c r="H62" s="27"/>
      <c r="I62" s="27"/>
      <c r="J62" s="25"/>
      <c r="K62" s="25"/>
      <c r="L62" s="28"/>
      <c r="M62" s="29"/>
    </row>
    <row r="63" spans="1:21" s="7" customFormat="1" ht="15" customHeight="1" x14ac:dyDescent="0.2">
      <c r="A63" s="30"/>
      <c r="B63" s="493" t="s">
        <v>109</v>
      </c>
      <c r="C63" s="494"/>
      <c r="D63" s="494"/>
      <c r="E63" s="494"/>
      <c r="F63" s="494"/>
      <c r="G63" s="494"/>
      <c r="H63" s="494"/>
      <c r="I63" s="494"/>
      <c r="J63" s="494"/>
      <c r="K63" s="494"/>
      <c r="L63" s="495"/>
      <c r="M63" s="34"/>
      <c r="N63" s="3"/>
    </row>
    <row r="64" spans="1:21" ht="12.75" customHeight="1" x14ac:dyDescent="0.2">
      <c r="A64" s="30"/>
      <c r="B64" s="496"/>
      <c r="C64" s="497"/>
      <c r="D64" s="497"/>
      <c r="E64" s="497"/>
      <c r="F64" s="497"/>
      <c r="G64" s="497"/>
      <c r="H64" s="497"/>
      <c r="I64" s="497"/>
      <c r="J64" s="497"/>
      <c r="K64" s="497"/>
      <c r="L64" s="498"/>
      <c r="M64" s="34"/>
    </row>
    <row r="65" spans="1:13" ht="12.75" customHeight="1" x14ac:dyDescent="0.2">
      <c r="A65" s="30"/>
      <c r="B65" s="496"/>
      <c r="C65" s="497"/>
      <c r="D65" s="497"/>
      <c r="E65" s="497"/>
      <c r="F65" s="497"/>
      <c r="G65" s="497"/>
      <c r="H65" s="497"/>
      <c r="I65" s="497"/>
      <c r="J65" s="497"/>
      <c r="K65" s="497"/>
      <c r="L65" s="498"/>
      <c r="M65" s="34"/>
    </row>
    <row r="66" spans="1:13" ht="12.75" customHeight="1" x14ac:dyDescent="0.2">
      <c r="A66" s="30"/>
      <c r="B66" s="496"/>
      <c r="C66" s="497"/>
      <c r="D66" s="497"/>
      <c r="E66" s="497"/>
      <c r="F66" s="497"/>
      <c r="G66" s="497"/>
      <c r="H66" s="497"/>
      <c r="I66" s="497"/>
      <c r="J66" s="497"/>
      <c r="K66" s="497"/>
      <c r="L66" s="498"/>
      <c r="M66" s="34"/>
    </row>
    <row r="67" spans="1:13" ht="21" customHeight="1" thickBot="1" x14ac:dyDescent="0.25">
      <c r="A67" s="31"/>
      <c r="B67" s="499"/>
      <c r="C67" s="500"/>
      <c r="D67" s="500"/>
      <c r="E67" s="500"/>
      <c r="F67" s="500"/>
      <c r="G67" s="500"/>
      <c r="H67" s="500"/>
      <c r="I67" s="500"/>
      <c r="J67" s="500"/>
      <c r="K67" s="500"/>
      <c r="L67" s="501"/>
      <c r="M67" s="34"/>
    </row>
    <row r="68" spans="1:13" ht="20.25" x14ac:dyDescent="0.2">
      <c r="A68" s="32"/>
      <c r="B68" s="33"/>
      <c r="C68" s="33"/>
      <c r="D68" s="33"/>
      <c r="E68" s="33"/>
      <c r="F68" s="33"/>
      <c r="G68" s="33"/>
      <c r="H68" s="33"/>
      <c r="I68" s="33"/>
      <c r="J68" s="33"/>
      <c r="K68" s="33"/>
      <c r="L68" s="33"/>
      <c r="M68" s="34"/>
    </row>
    <row r="69" spans="1:13" ht="21" thickBot="1" x14ac:dyDescent="0.25">
      <c r="A69" s="32"/>
      <c r="B69" s="33"/>
      <c r="C69" s="33"/>
      <c r="D69" s="33"/>
      <c r="E69" s="33"/>
      <c r="F69" s="33"/>
      <c r="G69" s="33"/>
      <c r="H69" s="33"/>
      <c r="I69" s="33"/>
      <c r="J69" s="33"/>
      <c r="K69" s="33"/>
      <c r="L69" s="33"/>
      <c r="M69" s="34"/>
    </row>
    <row r="70" spans="1:13" ht="21" thickBot="1" x14ac:dyDescent="0.25">
      <c r="A70" s="32"/>
      <c r="B70" s="502" t="s">
        <v>110</v>
      </c>
      <c r="C70" s="503"/>
      <c r="D70" s="503"/>
      <c r="E70" s="503"/>
      <c r="F70" s="503"/>
      <c r="G70" s="503"/>
      <c r="H70" s="503"/>
      <c r="I70" s="503"/>
      <c r="J70" s="503"/>
      <c r="K70" s="503"/>
      <c r="L70" s="504"/>
      <c r="M70" s="34"/>
    </row>
    <row r="71" spans="1:13" ht="21" thickBot="1" x14ac:dyDescent="0.25">
      <c r="A71" s="32"/>
      <c r="B71" s="63" t="s">
        <v>10</v>
      </c>
      <c r="C71" s="62" t="s">
        <v>111</v>
      </c>
      <c r="D71" s="502" t="s">
        <v>83</v>
      </c>
      <c r="E71" s="503"/>
      <c r="F71" s="503"/>
      <c r="G71" s="503"/>
      <c r="H71" s="503"/>
      <c r="I71" s="503"/>
      <c r="J71" s="503"/>
      <c r="K71" s="503"/>
      <c r="L71" s="504"/>
      <c r="M71" s="34"/>
    </row>
    <row r="72" spans="1:13" ht="20.25" x14ac:dyDescent="0.2">
      <c r="A72" s="32"/>
      <c r="B72" s="122"/>
      <c r="C72" s="123"/>
      <c r="D72" s="492"/>
      <c r="E72" s="492"/>
      <c r="F72" s="492"/>
      <c r="G72" s="492"/>
      <c r="H72" s="492"/>
      <c r="I72" s="492"/>
      <c r="J72" s="492"/>
      <c r="K72" s="492"/>
      <c r="L72" s="492"/>
      <c r="M72" s="34"/>
    </row>
    <row r="73" spans="1:13" ht="20.25" x14ac:dyDescent="0.2">
      <c r="A73" s="32"/>
      <c r="B73" s="124"/>
      <c r="C73" s="125"/>
      <c r="D73" s="490"/>
      <c r="E73" s="490"/>
      <c r="F73" s="490"/>
      <c r="G73" s="490"/>
      <c r="H73" s="490"/>
      <c r="I73" s="490"/>
      <c r="J73" s="490"/>
      <c r="K73" s="490"/>
      <c r="L73" s="490"/>
      <c r="M73" s="34"/>
    </row>
    <row r="74" spans="1:13" ht="20.25" x14ac:dyDescent="0.2">
      <c r="A74" s="32"/>
      <c r="B74" s="124"/>
      <c r="C74" s="125"/>
      <c r="D74" s="490"/>
      <c r="E74" s="490"/>
      <c r="F74" s="490"/>
      <c r="G74" s="490"/>
      <c r="H74" s="490"/>
      <c r="I74" s="490"/>
      <c r="J74" s="490"/>
      <c r="K74" s="490"/>
      <c r="L74" s="490"/>
      <c r="M74" s="34"/>
    </row>
    <row r="75" spans="1:13" ht="20.25" x14ac:dyDescent="0.2">
      <c r="A75" s="32"/>
      <c r="B75" s="124"/>
      <c r="C75" s="125"/>
      <c r="D75" s="490"/>
      <c r="E75" s="490"/>
      <c r="F75" s="490"/>
      <c r="G75" s="490"/>
      <c r="H75" s="490"/>
      <c r="I75" s="490"/>
      <c r="J75" s="490"/>
      <c r="K75" s="490"/>
      <c r="L75" s="490"/>
      <c r="M75" s="34"/>
    </row>
    <row r="76" spans="1:13" ht="20.25" x14ac:dyDescent="0.2">
      <c r="A76" s="32"/>
      <c r="B76" s="124"/>
      <c r="C76" s="125"/>
      <c r="D76" s="490"/>
      <c r="E76" s="490"/>
      <c r="F76" s="490"/>
      <c r="G76" s="490"/>
      <c r="H76" s="490"/>
      <c r="I76" s="490"/>
      <c r="J76" s="490"/>
      <c r="K76" s="490"/>
      <c r="L76" s="490"/>
      <c r="M76" s="34"/>
    </row>
    <row r="77" spans="1:13" ht="20.25" x14ac:dyDescent="0.2">
      <c r="A77" s="32"/>
      <c r="B77" s="124"/>
      <c r="C77" s="125"/>
      <c r="D77" s="490"/>
      <c r="E77" s="490"/>
      <c r="F77" s="490"/>
      <c r="G77" s="490"/>
      <c r="H77" s="490"/>
      <c r="I77" s="490"/>
      <c r="J77" s="490"/>
      <c r="K77" s="490"/>
      <c r="L77" s="490"/>
      <c r="M77" s="34"/>
    </row>
    <row r="78" spans="1:13" ht="20.25" x14ac:dyDescent="0.2">
      <c r="A78" s="32"/>
      <c r="B78" s="124"/>
      <c r="C78" s="125"/>
      <c r="D78" s="490"/>
      <c r="E78" s="490"/>
      <c r="F78" s="490"/>
      <c r="G78" s="490"/>
      <c r="H78" s="490"/>
      <c r="I78" s="490"/>
      <c r="J78" s="490"/>
      <c r="K78" s="490"/>
      <c r="L78" s="490"/>
      <c r="M78" s="34"/>
    </row>
    <row r="79" spans="1:13" ht="20.25" x14ac:dyDescent="0.2">
      <c r="A79" s="32"/>
      <c r="B79" s="124"/>
      <c r="C79" s="125"/>
      <c r="D79" s="490"/>
      <c r="E79" s="490"/>
      <c r="F79" s="490"/>
      <c r="G79" s="490"/>
      <c r="H79" s="490"/>
      <c r="I79" s="490"/>
      <c r="J79" s="490"/>
      <c r="K79" s="490"/>
      <c r="L79" s="490"/>
      <c r="M79" s="34"/>
    </row>
    <row r="80" spans="1:13" ht="20.25" x14ac:dyDescent="0.2">
      <c r="A80" s="32"/>
      <c r="B80" s="124"/>
      <c r="C80" s="125"/>
      <c r="D80" s="490"/>
      <c r="E80" s="490"/>
      <c r="F80" s="490"/>
      <c r="G80" s="490"/>
      <c r="H80" s="490"/>
      <c r="I80" s="490"/>
      <c r="J80" s="490"/>
      <c r="K80" s="490"/>
      <c r="L80" s="490"/>
      <c r="M80" s="34"/>
    </row>
    <row r="81" spans="1:13" ht="20.25" x14ac:dyDescent="0.2">
      <c r="A81" s="32"/>
      <c r="B81" s="124"/>
      <c r="C81" s="125"/>
      <c r="D81" s="490"/>
      <c r="E81" s="490"/>
      <c r="F81" s="490"/>
      <c r="G81" s="490"/>
      <c r="H81" s="490"/>
      <c r="I81" s="490"/>
      <c r="J81" s="490"/>
      <c r="K81" s="490"/>
      <c r="L81" s="490"/>
      <c r="M81" s="34"/>
    </row>
    <row r="82" spans="1:13" ht="20.25" x14ac:dyDescent="0.2">
      <c r="A82" s="32"/>
      <c r="B82" s="124"/>
      <c r="C82" s="125"/>
      <c r="D82" s="490"/>
      <c r="E82" s="490"/>
      <c r="F82" s="490"/>
      <c r="G82" s="490"/>
      <c r="H82" s="490"/>
      <c r="I82" s="490"/>
      <c r="J82" s="490"/>
      <c r="K82" s="490"/>
      <c r="L82" s="490"/>
      <c r="M82" s="34"/>
    </row>
    <row r="83" spans="1:13" ht="20.25" x14ac:dyDescent="0.2">
      <c r="A83" s="32"/>
      <c r="B83" s="124"/>
      <c r="C83" s="125"/>
      <c r="D83" s="490"/>
      <c r="E83" s="490"/>
      <c r="F83" s="490"/>
      <c r="G83" s="490"/>
      <c r="H83" s="490"/>
      <c r="I83" s="490"/>
      <c r="J83" s="490"/>
      <c r="K83" s="490"/>
      <c r="L83" s="490"/>
      <c r="M83" s="34"/>
    </row>
    <row r="84" spans="1:13" ht="20.25" x14ac:dyDescent="0.2">
      <c r="A84" s="32"/>
      <c r="B84" s="124"/>
      <c r="C84" s="125"/>
      <c r="D84" s="490"/>
      <c r="E84" s="490"/>
      <c r="F84" s="490"/>
      <c r="G84" s="490"/>
      <c r="H84" s="490"/>
      <c r="I84" s="490"/>
      <c r="J84" s="490"/>
      <c r="K84" s="490"/>
      <c r="L84" s="490"/>
      <c r="M84" s="34"/>
    </row>
    <row r="85" spans="1:13" ht="20.25" x14ac:dyDescent="0.2">
      <c r="A85" s="32"/>
      <c r="B85" s="124"/>
      <c r="C85" s="125"/>
      <c r="D85" s="490"/>
      <c r="E85" s="490"/>
      <c r="F85" s="490"/>
      <c r="G85" s="490"/>
      <c r="H85" s="490"/>
      <c r="I85" s="490"/>
      <c r="J85" s="490"/>
      <c r="K85" s="490"/>
      <c r="L85" s="490"/>
      <c r="M85" s="34"/>
    </row>
    <row r="86" spans="1:13" ht="20.25" x14ac:dyDescent="0.2">
      <c r="A86" s="32"/>
      <c r="B86" s="124"/>
      <c r="C86" s="125"/>
      <c r="D86" s="490"/>
      <c r="E86" s="490"/>
      <c r="F86" s="490"/>
      <c r="G86" s="490"/>
      <c r="H86" s="490"/>
      <c r="I86" s="490"/>
      <c r="J86" s="490"/>
      <c r="K86" s="490"/>
      <c r="L86" s="490"/>
      <c r="M86" s="34"/>
    </row>
    <row r="87" spans="1:13" ht="20.25" x14ac:dyDescent="0.2">
      <c r="A87" s="32"/>
      <c r="B87" s="124"/>
      <c r="C87" s="125"/>
      <c r="D87" s="490"/>
      <c r="E87" s="490"/>
      <c r="F87" s="490"/>
      <c r="G87" s="490"/>
      <c r="H87" s="490"/>
      <c r="I87" s="490"/>
      <c r="J87" s="490"/>
      <c r="K87" s="490"/>
      <c r="L87" s="490"/>
      <c r="M87" s="34"/>
    </row>
    <row r="88" spans="1:13" ht="20.25" x14ac:dyDescent="0.2">
      <c r="A88" s="32"/>
      <c r="B88" s="124"/>
      <c r="C88" s="125"/>
      <c r="D88" s="490"/>
      <c r="E88" s="490"/>
      <c r="F88" s="490"/>
      <c r="G88" s="490"/>
      <c r="H88" s="490"/>
      <c r="I88" s="490"/>
      <c r="J88" s="490"/>
      <c r="K88" s="490"/>
      <c r="L88" s="490"/>
      <c r="M88" s="34"/>
    </row>
    <row r="89" spans="1:13" ht="20.25" x14ac:dyDescent="0.2">
      <c r="A89" s="32"/>
      <c r="B89" s="124"/>
      <c r="C89" s="125"/>
      <c r="D89" s="490"/>
      <c r="E89" s="490"/>
      <c r="F89" s="490"/>
      <c r="G89" s="490"/>
      <c r="H89" s="490"/>
      <c r="I89" s="490"/>
      <c r="J89" s="490"/>
      <c r="K89" s="490"/>
      <c r="L89" s="490"/>
      <c r="M89" s="34"/>
    </row>
    <row r="90" spans="1:13" ht="20.25" x14ac:dyDescent="0.2">
      <c r="A90" s="32"/>
      <c r="B90" s="124"/>
      <c r="C90" s="125"/>
      <c r="D90" s="490"/>
      <c r="E90" s="490"/>
      <c r="F90" s="490"/>
      <c r="G90" s="490"/>
      <c r="H90" s="490"/>
      <c r="I90" s="490"/>
      <c r="J90" s="490"/>
      <c r="K90" s="490"/>
      <c r="L90" s="490"/>
      <c r="M90" s="34"/>
    </row>
    <row r="91" spans="1:13" ht="20.25" x14ac:dyDescent="0.2">
      <c r="A91" s="32"/>
      <c r="B91" s="124"/>
      <c r="C91" s="125"/>
      <c r="D91" s="490"/>
      <c r="E91" s="490"/>
      <c r="F91" s="490"/>
      <c r="G91" s="490"/>
      <c r="H91" s="490"/>
      <c r="I91" s="490"/>
      <c r="J91" s="490"/>
      <c r="K91" s="490"/>
      <c r="L91" s="490"/>
      <c r="M91" s="34"/>
    </row>
    <row r="92" spans="1:13" ht="20.25" x14ac:dyDescent="0.2">
      <c r="A92" s="32"/>
      <c r="B92" s="124"/>
      <c r="C92" s="125"/>
      <c r="D92" s="490"/>
      <c r="E92" s="490"/>
      <c r="F92" s="490"/>
      <c r="G92" s="490"/>
      <c r="H92" s="490"/>
      <c r="I92" s="490"/>
      <c r="J92" s="490"/>
      <c r="K92" s="490"/>
      <c r="L92" s="490"/>
      <c r="M92" s="34"/>
    </row>
    <row r="93" spans="1:13" ht="20.25" x14ac:dyDescent="0.2">
      <c r="A93" s="32"/>
      <c r="B93" s="124"/>
      <c r="C93" s="125"/>
      <c r="D93" s="490"/>
      <c r="E93" s="490"/>
      <c r="F93" s="490"/>
      <c r="G93" s="490"/>
      <c r="H93" s="490"/>
      <c r="I93" s="490"/>
      <c r="J93" s="490"/>
      <c r="K93" s="490"/>
      <c r="L93" s="490"/>
      <c r="M93" s="34"/>
    </row>
    <row r="94" spans="1:13" ht="20.25" x14ac:dyDescent="0.2">
      <c r="A94" s="32"/>
      <c r="B94" s="124"/>
      <c r="C94" s="125"/>
      <c r="D94" s="490"/>
      <c r="E94" s="490"/>
      <c r="F94" s="490"/>
      <c r="G94" s="490"/>
      <c r="H94" s="490"/>
      <c r="I94" s="490"/>
      <c r="J94" s="490"/>
      <c r="K94" s="490"/>
      <c r="L94" s="490"/>
      <c r="M94" s="34"/>
    </row>
    <row r="95" spans="1:13" ht="20.25" x14ac:dyDescent="0.2">
      <c r="A95" s="32"/>
      <c r="B95" s="124"/>
      <c r="C95" s="125"/>
      <c r="D95" s="490"/>
      <c r="E95" s="490"/>
      <c r="F95" s="490"/>
      <c r="G95" s="490"/>
      <c r="H95" s="490"/>
      <c r="I95" s="490"/>
      <c r="J95" s="490"/>
      <c r="K95" s="490"/>
      <c r="L95" s="490"/>
      <c r="M95" s="34"/>
    </row>
    <row r="96" spans="1:13" ht="20.25" x14ac:dyDescent="0.2">
      <c r="A96" s="32"/>
      <c r="B96" s="124"/>
      <c r="C96" s="125"/>
      <c r="D96" s="490"/>
      <c r="E96" s="490"/>
      <c r="F96" s="490"/>
      <c r="G96" s="490"/>
      <c r="H96" s="490"/>
      <c r="I96" s="490"/>
      <c r="J96" s="490"/>
      <c r="K96" s="490"/>
      <c r="L96" s="490"/>
      <c r="M96" s="34"/>
    </row>
    <row r="97" spans="1:13" ht="20.25" x14ac:dyDescent="0.2">
      <c r="A97" s="32"/>
      <c r="B97" s="124"/>
      <c r="C97" s="125"/>
      <c r="D97" s="490"/>
      <c r="E97" s="490"/>
      <c r="F97" s="490"/>
      <c r="G97" s="490"/>
      <c r="H97" s="490"/>
      <c r="I97" s="490"/>
      <c r="J97" s="490"/>
      <c r="K97" s="490"/>
      <c r="L97" s="490"/>
      <c r="M97" s="34"/>
    </row>
    <row r="98" spans="1:13" ht="20.25" x14ac:dyDescent="0.2">
      <c r="A98" s="32"/>
      <c r="B98" s="124"/>
      <c r="C98" s="125"/>
      <c r="D98" s="490"/>
      <c r="E98" s="490"/>
      <c r="F98" s="490"/>
      <c r="G98" s="490"/>
      <c r="H98" s="490"/>
      <c r="I98" s="490"/>
      <c r="J98" s="490"/>
      <c r="K98" s="490"/>
      <c r="L98" s="490"/>
      <c r="M98" s="34"/>
    </row>
    <row r="99" spans="1:13" ht="20.25" x14ac:dyDescent="0.2">
      <c r="A99" s="32"/>
      <c r="B99" s="124"/>
      <c r="C99" s="125"/>
      <c r="D99" s="490"/>
      <c r="E99" s="490"/>
      <c r="F99" s="490"/>
      <c r="G99" s="490"/>
      <c r="H99" s="490"/>
      <c r="I99" s="490"/>
      <c r="J99" s="490"/>
      <c r="K99" s="490"/>
      <c r="L99" s="490"/>
      <c r="M99" s="34"/>
    </row>
    <row r="100" spans="1:13" ht="20.25" x14ac:dyDescent="0.2">
      <c r="A100" s="32"/>
      <c r="B100" s="124"/>
      <c r="C100" s="125"/>
      <c r="D100" s="490"/>
      <c r="E100" s="490"/>
      <c r="F100" s="490"/>
      <c r="G100" s="490"/>
      <c r="H100" s="490"/>
      <c r="I100" s="490"/>
      <c r="J100" s="490"/>
      <c r="K100" s="490"/>
      <c r="L100" s="490"/>
      <c r="M100" s="34"/>
    </row>
    <row r="101" spans="1:13" ht="20.25" x14ac:dyDescent="0.2">
      <c r="A101" s="32"/>
      <c r="B101" s="124"/>
      <c r="C101" s="125"/>
      <c r="D101" s="490"/>
      <c r="E101" s="490"/>
      <c r="F101" s="490"/>
      <c r="G101" s="490"/>
      <c r="H101" s="490"/>
      <c r="I101" s="490"/>
      <c r="J101" s="490"/>
      <c r="K101" s="490"/>
      <c r="L101" s="490"/>
      <c r="M101" s="34"/>
    </row>
    <row r="102" spans="1:13" ht="20.25" x14ac:dyDescent="0.2">
      <c r="A102" s="32"/>
      <c r="B102" s="124"/>
      <c r="C102" s="125"/>
      <c r="D102" s="490"/>
      <c r="E102" s="490"/>
      <c r="F102" s="490"/>
      <c r="G102" s="490"/>
      <c r="H102" s="490"/>
      <c r="I102" s="490"/>
      <c r="J102" s="490"/>
      <c r="K102" s="490"/>
      <c r="L102" s="490"/>
      <c r="M102" s="34"/>
    </row>
    <row r="103" spans="1:13" ht="20.25" x14ac:dyDescent="0.2">
      <c r="A103" s="32"/>
      <c r="B103" s="124"/>
      <c r="C103" s="125"/>
      <c r="D103" s="490"/>
      <c r="E103" s="490"/>
      <c r="F103" s="490"/>
      <c r="G103" s="490"/>
      <c r="H103" s="490"/>
      <c r="I103" s="490"/>
      <c r="J103" s="490"/>
      <c r="K103" s="490"/>
      <c r="L103" s="490"/>
      <c r="M103" s="34"/>
    </row>
    <row r="104" spans="1:13" ht="20.25" x14ac:dyDescent="0.2">
      <c r="A104" s="32"/>
      <c r="B104" s="124"/>
      <c r="C104" s="125"/>
      <c r="D104" s="490"/>
      <c r="E104" s="490"/>
      <c r="F104" s="490"/>
      <c r="G104" s="490"/>
      <c r="H104" s="490"/>
      <c r="I104" s="490"/>
      <c r="J104" s="490"/>
      <c r="K104" s="490"/>
      <c r="L104" s="490"/>
      <c r="M104" s="34"/>
    </row>
    <row r="105" spans="1:13" ht="20.25" x14ac:dyDescent="0.2">
      <c r="A105" s="32"/>
      <c r="B105" s="124"/>
      <c r="C105" s="125"/>
      <c r="D105" s="490"/>
      <c r="E105" s="490"/>
      <c r="F105" s="490"/>
      <c r="G105" s="490"/>
      <c r="H105" s="490"/>
      <c r="I105" s="490"/>
      <c r="J105" s="490"/>
      <c r="K105" s="490"/>
      <c r="L105" s="490"/>
      <c r="M105" s="34"/>
    </row>
    <row r="106" spans="1:13" ht="20.25" x14ac:dyDescent="0.2">
      <c r="A106" s="32"/>
      <c r="B106" s="124"/>
      <c r="C106" s="125"/>
      <c r="D106" s="490"/>
      <c r="E106" s="490"/>
      <c r="F106" s="490"/>
      <c r="G106" s="490"/>
      <c r="H106" s="490"/>
      <c r="I106" s="490"/>
      <c r="J106" s="490"/>
      <c r="K106" s="490"/>
      <c r="L106" s="490"/>
      <c r="M106" s="34"/>
    </row>
    <row r="107" spans="1:13" ht="20.25" x14ac:dyDescent="0.2">
      <c r="A107" s="32"/>
      <c r="B107" s="124"/>
      <c r="C107" s="125"/>
      <c r="D107" s="490"/>
      <c r="E107" s="490"/>
      <c r="F107" s="490"/>
      <c r="G107" s="490"/>
      <c r="H107" s="490"/>
      <c r="I107" s="490"/>
      <c r="J107" s="490"/>
      <c r="K107" s="490"/>
      <c r="L107" s="490"/>
      <c r="M107" s="34"/>
    </row>
    <row r="108" spans="1:13" ht="20.25" x14ac:dyDescent="0.2">
      <c r="A108" s="32"/>
      <c r="B108" s="124"/>
      <c r="C108" s="125"/>
      <c r="D108" s="490"/>
      <c r="E108" s="490"/>
      <c r="F108" s="490"/>
      <c r="G108" s="490"/>
      <c r="H108" s="490"/>
      <c r="I108" s="490"/>
      <c r="J108" s="490"/>
      <c r="K108" s="490"/>
      <c r="L108" s="490"/>
      <c r="M108" s="34"/>
    </row>
    <row r="109" spans="1:13" ht="20.25" x14ac:dyDescent="0.2">
      <c r="A109" s="32"/>
      <c r="B109" s="124"/>
      <c r="C109" s="125"/>
      <c r="D109" s="490"/>
      <c r="E109" s="490"/>
      <c r="F109" s="490"/>
      <c r="G109" s="490"/>
      <c r="H109" s="490"/>
      <c r="I109" s="490"/>
      <c r="J109" s="490"/>
      <c r="K109" s="490"/>
      <c r="L109" s="490"/>
      <c r="M109" s="34"/>
    </row>
    <row r="110" spans="1:13" ht="20.25" x14ac:dyDescent="0.2">
      <c r="A110" s="32"/>
      <c r="B110" s="124"/>
      <c r="C110" s="125"/>
      <c r="D110" s="490"/>
      <c r="E110" s="490"/>
      <c r="F110" s="490"/>
      <c r="G110" s="490"/>
      <c r="H110" s="490"/>
      <c r="I110" s="490"/>
      <c r="J110" s="490"/>
      <c r="K110" s="490"/>
      <c r="L110" s="490"/>
      <c r="M110" s="34"/>
    </row>
    <row r="111" spans="1:13" ht="20.25" x14ac:dyDescent="0.2">
      <c r="A111" s="32"/>
      <c r="B111" s="124"/>
      <c r="C111" s="125"/>
      <c r="D111" s="490"/>
      <c r="E111" s="490"/>
      <c r="F111" s="490"/>
      <c r="G111" s="490"/>
      <c r="H111" s="490"/>
      <c r="I111" s="490"/>
      <c r="J111" s="490"/>
      <c r="K111" s="490"/>
      <c r="L111" s="490"/>
      <c r="M111" s="34"/>
    </row>
    <row r="112" spans="1:13" ht="20.25" x14ac:dyDescent="0.2">
      <c r="A112" s="32"/>
      <c r="B112" s="124"/>
      <c r="C112" s="125"/>
      <c r="D112" s="490"/>
      <c r="E112" s="490"/>
      <c r="F112" s="490"/>
      <c r="G112" s="490"/>
      <c r="H112" s="490"/>
      <c r="I112" s="490"/>
      <c r="J112" s="490"/>
      <c r="K112" s="490"/>
      <c r="L112" s="490"/>
      <c r="M112" s="34"/>
    </row>
    <row r="113" spans="1:13" ht="20.25" x14ac:dyDescent="0.2">
      <c r="A113" s="32"/>
      <c r="B113" s="124"/>
      <c r="C113" s="125"/>
      <c r="D113" s="490"/>
      <c r="E113" s="490"/>
      <c r="F113" s="490"/>
      <c r="G113" s="490"/>
      <c r="H113" s="490"/>
      <c r="I113" s="490"/>
      <c r="J113" s="490"/>
      <c r="K113" s="490"/>
      <c r="L113" s="490"/>
      <c r="M113" s="34"/>
    </row>
    <row r="114" spans="1:13" ht="20.25" x14ac:dyDescent="0.2">
      <c r="A114" s="32"/>
      <c r="B114" s="124"/>
      <c r="C114" s="125"/>
      <c r="D114" s="490"/>
      <c r="E114" s="490"/>
      <c r="F114" s="490"/>
      <c r="G114" s="490"/>
      <c r="H114" s="490"/>
      <c r="I114" s="490"/>
      <c r="J114" s="490"/>
      <c r="K114" s="490"/>
      <c r="L114" s="490"/>
      <c r="M114" s="34"/>
    </row>
    <row r="115" spans="1:13" ht="20.25" x14ac:dyDescent="0.2">
      <c r="A115" s="32"/>
      <c r="B115" s="124"/>
      <c r="C115" s="125"/>
      <c r="D115" s="490"/>
      <c r="E115" s="490"/>
      <c r="F115" s="490"/>
      <c r="G115" s="490"/>
      <c r="H115" s="490"/>
      <c r="I115" s="490"/>
      <c r="J115" s="490"/>
      <c r="K115" s="490"/>
      <c r="L115" s="490"/>
      <c r="M115" s="34"/>
    </row>
    <row r="116" spans="1:13" ht="20.25" x14ac:dyDescent="0.2">
      <c r="A116" s="32"/>
      <c r="B116" s="124"/>
      <c r="C116" s="125"/>
      <c r="D116" s="490"/>
      <c r="E116" s="490"/>
      <c r="F116" s="490"/>
      <c r="G116" s="490"/>
      <c r="H116" s="490"/>
      <c r="I116" s="490"/>
      <c r="J116" s="490"/>
      <c r="K116" s="490"/>
      <c r="L116" s="490"/>
      <c r="M116" s="34"/>
    </row>
    <row r="117" spans="1:13" ht="20.25" x14ac:dyDescent="0.2">
      <c r="A117" s="32"/>
      <c r="B117" s="124"/>
      <c r="C117" s="125"/>
      <c r="D117" s="490"/>
      <c r="E117" s="490"/>
      <c r="F117" s="490"/>
      <c r="G117" s="490"/>
      <c r="H117" s="490"/>
      <c r="I117" s="490"/>
      <c r="J117" s="490"/>
      <c r="K117" s="490"/>
      <c r="L117" s="490"/>
      <c r="M117" s="34"/>
    </row>
    <row r="118" spans="1:13" ht="20.25" x14ac:dyDescent="0.2">
      <c r="A118" s="32"/>
      <c r="B118" s="124"/>
      <c r="C118" s="125"/>
      <c r="D118" s="490"/>
      <c r="E118" s="490"/>
      <c r="F118" s="490"/>
      <c r="G118" s="490"/>
      <c r="H118" s="490"/>
      <c r="I118" s="490"/>
      <c r="J118" s="490"/>
      <c r="K118" s="490"/>
      <c r="L118" s="490"/>
      <c r="M118" s="34"/>
    </row>
    <row r="119" spans="1:13" ht="20.25" x14ac:dyDescent="0.2">
      <c r="A119" s="32"/>
      <c r="B119" s="124"/>
      <c r="C119" s="125"/>
      <c r="D119" s="490"/>
      <c r="E119" s="490"/>
      <c r="F119" s="490"/>
      <c r="G119" s="490"/>
      <c r="H119" s="490"/>
      <c r="I119" s="490"/>
      <c r="J119" s="490"/>
      <c r="K119" s="490"/>
      <c r="L119" s="490"/>
      <c r="M119" s="34"/>
    </row>
    <row r="120" spans="1:13" ht="20.25" x14ac:dyDescent="0.2">
      <c r="A120" s="32"/>
      <c r="B120" s="124"/>
      <c r="C120" s="125"/>
      <c r="D120" s="490"/>
      <c r="E120" s="490"/>
      <c r="F120" s="490"/>
      <c r="G120" s="490"/>
      <c r="H120" s="490"/>
      <c r="I120" s="490"/>
      <c r="J120" s="490"/>
      <c r="K120" s="490"/>
      <c r="L120" s="490"/>
      <c r="M120" s="34"/>
    </row>
    <row r="121" spans="1:13" ht="21" thickBot="1" x14ac:dyDescent="0.25">
      <c r="A121" s="32"/>
      <c r="B121" s="126"/>
      <c r="C121" s="127"/>
      <c r="D121" s="491"/>
      <c r="E121" s="491"/>
      <c r="F121" s="491"/>
      <c r="G121" s="491"/>
      <c r="H121" s="491"/>
      <c r="I121" s="491"/>
      <c r="J121" s="491"/>
      <c r="K121" s="491"/>
      <c r="L121" s="491"/>
      <c r="M121" s="34"/>
    </row>
    <row r="122" spans="1:13" ht="21" thickBot="1" x14ac:dyDescent="0.25">
      <c r="A122" s="32"/>
      <c r="B122" s="33"/>
      <c r="C122" s="33"/>
      <c r="D122" s="33"/>
      <c r="E122" s="33"/>
      <c r="F122" s="33"/>
      <c r="G122" s="33"/>
      <c r="H122" s="33"/>
      <c r="I122" s="33"/>
      <c r="J122" s="33"/>
      <c r="K122" s="33"/>
      <c r="L122" s="33"/>
      <c r="M122" s="34"/>
    </row>
    <row r="123" spans="1:13" ht="24.75" thickTop="1" thickBot="1" x14ac:dyDescent="0.25">
      <c r="A123" s="24"/>
      <c r="B123" s="25"/>
      <c r="C123" s="25"/>
      <c r="D123" s="25"/>
      <c r="E123" s="26"/>
      <c r="F123" s="27"/>
      <c r="G123" s="27"/>
      <c r="H123" s="27"/>
      <c r="I123" s="27"/>
      <c r="J123" s="25"/>
      <c r="K123" s="25"/>
      <c r="L123" s="28"/>
      <c r="M123" s="29"/>
    </row>
    <row r="124" spans="1:13" x14ac:dyDescent="0.2">
      <c r="A124" s="30"/>
      <c r="B124" s="493" t="s">
        <v>109</v>
      </c>
      <c r="C124" s="494"/>
      <c r="D124" s="494"/>
      <c r="E124" s="494"/>
      <c r="F124" s="494"/>
      <c r="G124" s="494"/>
      <c r="H124" s="494"/>
      <c r="I124" s="494"/>
      <c r="J124" s="494"/>
      <c r="K124" s="494"/>
      <c r="L124" s="495"/>
      <c r="M124" s="34"/>
    </row>
    <row r="125" spans="1:13" x14ac:dyDescent="0.2">
      <c r="A125" s="30"/>
      <c r="B125" s="496"/>
      <c r="C125" s="497"/>
      <c r="D125" s="497"/>
      <c r="E125" s="497"/>
      <c r="F125" s="497"/>
      <c r="G125" s="497"/>
      <c r="H125" s="497"/>
      <c r="I125" s="497"/>
      <c r="J125" s="497"/>
      <c r="K125" s="497"/>
      <c r="L125" s="498"/>
      <c r="M125" s="34"/>
    </row>
    <row r="126" spans="1:13" x14ac:dyDescent="0.2">
      <c r="A126" s="30"/>
      <c r="B126" s="496"/>
      <c r="C126" s="497"/>
      <c r="D126" s="497"/>
      <c r="E126" s="497"/>
      <c r="F126" s="497"/>
      <c r="G126" s="497"/>
      <c r="H126" s="497"/>
      <c r="I126" s="497"/>
      <c r="J126" s="497"/>
      <c r="K126" s="497"/>
      <c r="L126" s="498"/>
      <c r="M126" s="34"/>
    </row>
    <row r="127" spans="1:13" x14ac:dyDescent="0.2">
      <c r="A127" s="30"/>
      <c r="B127" s="496"/>
      <c r="C127" s="497"/>
      <c r="D127" s="497"/>
      <c r="E127" s="497"/>
      <c r="F127" s="497"/>
      <c r="G127" s="497"/>
      <c r="H127" s="497"/>
      <c r="I127" s="497"/>
      <c r="J127" s="497"/>
      <c r="K127" s="497"/>
      <c r="L127" s="498"/>
      <c r="M127" s="34"/>
    </row>
    <row r="128" spans="1:13" ht="21" thickBot="1" x14ac:dyDescent="0.25">
      <c r="A128" s="31"/>
      <c r="B128" s="499"/>
      <c r="C128" s="500"/>
      <c r="D128" s="500"/>
      <c r="E128" s="500"/>
      <c r="F128" s="500"/>
      <c r="G128" s="500"/>
      <c r="H128" s="500"/>
      <c r="I128" s="500"/>
      <c r="J128" s="500"/>
      <c r="K128" s="500"/>
      <c r="L128" s="501"/>
      <c r="M128" s="34"/>
    </row>
    <row r="129" spans="1:13" ht="20.25" x14ac:dyDescent="0.2">
      <c r="A129" s="32"/>
      <c r="B129" s="33"/>
      <c r="C129" s="33"/>
      <c r="D129" s="33"/>
      <c r="E129" s="33"/>
      <c r="F129" s="33"/>
      <c r="G129" s="33"/>
      <c r="H129" s="33"/>
      <c r="I129" s="33"/>
      <c r="J129" s="33"/>
      <c r="K129" s="33"/>
      <c r="L129" s="33"/>
      <c r="M129" s="34"/>
    </row>
    <row r="130" spans="1:13" ht="21" thickBot="1" x14ac:dyDescent="0.25">
      <c r="A130" s="32"/>
      <c r="B130" s="33"/>
      <c r="C130" s="33"/>
      <c r="D130" s="33"/>
      <c r="E130" s="33"/>
      <c r="F130" s="33"/>
      <c r="G130" s="33"/>
      <c r="H130" s="33"/>
      <c r="I130" s="33"/>
      <c r="J130" s="33"/>
      <c r="K130" s="33"/>
      <c r="L130" s="33"/>
      <c r="M130" s="34"/>
    </row>
    <row r="131" spans="1:13" ht="21" thickBot="1" x14ac:dyDescent="0.25">
      <c r="A131" s="32"/>
      <c r="B131" s="502" t="s">
        <v>110</v>
      </c>
      <c r="C131" s="503"/>
      <c r="D131" s="503"/>
      <c r="E131" s="503"/>
      <c r="F131" s="503"/>
      <c r="G131" s="503"/>
      <c r="H131" s="503"/>
      <c r="I131" s="503"/>
      <c r="J131" s="503"/>
      <c r="K131" s="503"/>
      <c r="L131" s="504"/>
      <c r="M131" s="34"/>
    </row>
    <row r="132" spans="1:13" ht="21" thickBot="1" x14ac:dyDescent="0.25">
      <c r="A132" s="32"/>
      <c r="B132" s="63" t="s">
        <v>10</v>
      </c>
      <c r="C132" s="62" t="s">
        <v>111</v>
      </c>
      <c r="D132" s="502" t="s">
        <v>83</v>
      </c>
      <c r="E132" s="503"/>
      <c r="F132" s="503"/>
      <c r="G132" s="503"/>
      <c r="H132" s="503"/>
      <c r="I132" s="503"/>
      <c r="J132" s="503"/>
      <c r="K132" s="503"/>
      <c r="L132" s="504"/>
      <c r="M132" s="34"/>
    </row>
    <row r="133" spans="1:13" ht="20.25" x14ac:dyDescent="0.2">
      <c r="A133" s="32"/>
      <c r="B133" s="122"/>
      <c r="C133" s="123"/>
      <c r="D133" s="492"/>
      <c r="E133" s="492"/>
      <c r="F133" s="492"/>
      <c r="G133" s="492"/>
      <c r="H133" s="492"/>
      <c r="I133" s="492"/>
      <c r="J133" s="492"/>
      <c r="K133" s="492"/>
      <c r="L133" s="492"/>
      <c r="M133" s="34"/>
    </row>
    <row r="134" spans="1:13" ht="20.25" x14ac:dyDescent="0.2">
      <c r="A134" s="32"/>
      <c r="B134" s="124"/>
      <c r="C134" s="125"/>
      <c r="D134" s="490"/>
      <c r="E134" s="490"/>
      <c r="F134" s="490"/>
      <c r="G134" s="490"/>
      <c r="H134" s="490"/>
      <c r="I134" s="490"/>
      <c r="J134" s="490"/>
      <c r="K134" s="490"/>
      <c r="L134" s="490"/>
      <c r="M134" s="34"/>
    </row>
    <row r="135" spans="1:13" ht="20.25" x14ac:dyDescent="0.2">
      <c r="A135" s="32"/>
      <c r="B135" s="124"/>
      <c r="C135" s="125"/>
      <c r="D135" s="490"/>
      <c r="E135" s="490"/>
      <c r="F135" s="490"/>
      <c r="G135" s="490"/>
      <c r="H135" s="490"/>
      <c r="I135" s="490"/>
      <c r="J135" s="490"/>
      <c r="K135" s="490"/>
      <c r="L135" s="490"/>
      <c r="M135" s="34"/>
    </row>
    <row r="136" spans="1:13" ht="20.25" x14ac:dyDescent="0.2">
      <c r="A136" s="32"/>
      <c r="B136" s="124"/>
      <c r="C136" s="125"/>
      <c r="D136" s="490"/>
      <c r="E136" s="490"/>
      <c r="F136" s="490"/>
      <c r="G136" s="490"/>
      <c r="H136" s="490"/>
      <c r="I136" s="490"/>
      <c r="J136" s="490"/>
      <c r="K136" s="490"/>
      <c r="L136" s="490"/>
      <c r="M136" s="34"/>
    </row>
    <row r="137" spans="1:13" ht="20.25" x14ac:dyDescent="0.2">
      <c r="A137" s="32"/>
      <c r="B137" s="124"/>
      <c r="C137" s="125"/>
      <c r="D137" s="490"/>
      <c r="E137" s="490"/>
      <c r="F137" s="490"/>
      <c r="G137" s="490"/>
      <c r="H137" s="490"/>
      <c r="I137" s="490"/>
      <c r="J137" s="490"/>
      <c r="K137" s="490"/>
      <c r="L137" s="490"/>
      <c r="M137" s="34"/>
    </row>
    <row r="138" spans="1:13" ht="20.25" x14ac:dyDescent="0.2">
      <c r="A138" s="32"/>
      <c r="B138" s="124"/>
      <c r="C138" s="125"/>
      <c r="D138" s="490"/>
      <c r="E138" s="490"/>
      <c r="F138" s="490"/>
      <c r="G138" s="490"/>
      <c r="H138" s="490"/>
      <c r="I138" s="490"/>
      <c r="J138" s="490"/>
      <c r="K138" s="490"/>
      <c r="L138" s="490"/>
      <c r="M138" s="34"/>
    </row>
    <row r="139" spans="1:13" ht="20.25" x14ac:dyDescent="0.2">
      <c r="A139" s="32"/>
      <c r="B139" s="124"/>
      <c r="C139" s="125"/>
      <c r="D139" s="490"/>
      <c r="E139" s="490"/>
      <c r="F139" s="490"/>
      <c r="G139" s="490"/>
      <c r="H139" s="490"/>
      <c r="I139" s="490"/>
      <c r="J139" s="490"/>
      <c r="K139" s="490"/>
      <c r="L139" s="490"/>
      <c r="M139" s="34"/>
    </row>
    <row r="140" spans="1:13" ht="20.25" x14ac:dyDescent="0.2">
      <c r="A140" s="32"/>
      <c r="B140" s="124"/>
      <c r="C140" s="125"/>
      <c r="D140" s="490"/>
      <c r="E140" s="490"/>
      <c r="F140" s="490"/>
      <c r="G140" s="490"/>
      <c r="H140" s="490"/>
      <c r="I140" s="490"/>
      <c r="J140" s="490"/>
      <c r="K140" s="490"/>
      <c r="L140" s="490"/>
      <c r="M140" s="34"/>
    </row>
    <row r="141" spans="1:13" ht="20.25" x14ac:dyDescent="0.2">
      <c r="A141" s="32"/>
      <c r="B141" s="124"/>
      <c r="C141" s="125"/>
      <c r="D141" s="490"/>
      <c r="E141" s="490"/>
      <c r="F141" s="490"/>
      <c r="G141" s="490"/>
      <c r="H141" s="490"/>
      <c r="I141" s="490"/>
      <c r="J141" s="490"/>
      <c r="K141" s="490"/>
      <c r="L141" s="490"/>
      <c r="M141" s="34"/>
    </row>
    <row r="142" spans="1:13" ht="20.25" x14ac:dyDescent="0.2">
      <c r="A142" s="32"/>
      <c r="B142" s="124"/>
      <c r="C142" s="125"/>
      <c r="D142" s="490"/>
      <c r="E142" s="490"/>
      <c r="F142" s="490"/>
      <c r="G142" s="490"/>
      <c r="H142" s="490"/>
      <c r="I142" s="490"/>
      <c r="J142" s="490"/>
      <c r="K142" s="490"/>
      <c r="L142" s="490"/>
      <c r="M142" s="34"/>
    </row>
    <row r="143" spans="1:13" ht="20.25" x14ac:dyDescent="0.2">
      <c r="A143" s="32"/>
      <c r="B143" s="124"/>
      <c r="C143" s="125"/>
      <c r="D143" s="490"/>
      <c r="E143" s="490"/>
      <c r="F143" s="490"/>
      <c r="G143" s="490"/>
      <c r="H143" s="490"/>
      <c r="I143" s="490"/>
      <c r="J143" s="490"/>
      <c r="K143" s="490"/>
      <c r="L143" s="490"/>
      <c r="M143" s="34"/>
    </row>
    <row r="144" spans="1:13" ht="20.25" x14ac:dyDescent="0.2">
      <c r="A144" s="32"/>
      <c r="B144" s="124"/>
      <c r="C144" s="125"/>
      <c r="D144" s="490"/>
      <c r="E144" s="490"/>
      <c r="F144" s="490"/>
      <c r="G144" s="490"/>
      <c r="H144" s="490"/>
      <c r="I144" s="490"/>
      <c r="J144" s="490"/>
      <c r="K144" s="490"/>
      <c r="L144" s="490"/>
      <c r="M144" s="34"/>
    </row>
    <row r="145" spans="1:13" ht="20.25" x14ac:dyDescent="0.2">
      <c r="A145" s="32"/>
      <c r="B145" s="124"/>
      <c r="C145" s="125"/>
      <c r="D145" s="490"/>
      <c r="E145" s="490"/>
      <c r="F145" s="490"/>
      <c r="G145" s="490"/>
      <c r="H145" s="490"/>
      <c r="I145" s="490"/>
      <c r="J145" s="490"/>
      <c r="K145" s="490"/>
      <c r="L145" s="490"/>
      <c r="M145" s="34"/>
    </row>
    <row r="146" spans="1:13" ht="20.25" x14ac:dyDescent="0.2">
      <c r="A146" s="32"/>
      <c r="B146" s="124"/>
      <c r="C146" s="125"/>
      <c r="D146" s="490"/>
      <c r="E146" s="490"/>
      <c r="F146" s="490"/>
      <c r="G146" s="490"/>
      <c r="H146" s="490"/>
      <c r="I146" s="490"/>
      <c r="J146" s="490"/>
      <c r="K146" s="490"/>
      <c r="L146" s="490"/>
      <c r="M146" s="34"/>
    </row>
    <row r="147" spans="1:13" ht="20.25" x14ac:dyDescent="0.2">
      <c r="A147" s="32"/>
      <c r="B147" s="124"/>
      <c r="C147" s="125"/>
      <c r="D147" s="490"/>
      <c r="E147" s="490"/>
      <c r="F147" s="490"/>
      <c r="G147" s="490"/>
      <c r="H147" s="490"/>
      <c r="I147" s="490"/>
      <c r="J147" s="490"/>
      <c r="K147" s="490"/>
      <c r="L147" s="490"/>
      <c r="M147" s="34"/>
    </row>
    <row r="148" spans="1:13" ht="20.25" x14ac:dyDescent="0.2">
      <c r="A148" s="32"/>
      <c r="B148" s="124"/>
      <c r="C148" s="125"/>
      <c r="D148" s="490"/>
      <c r="E148" s="490"/>
      <c r="F148" s="490"/>
      <c r="G148" s="490"/>
      <c r="H148" s="490"/>
      <c r="I148" s="490"/>
      <c r="J148" s="490"/>
      <c r="K148" s="490"/>
      <c r="L148" s="490"/>
      <c r="M148" s="34"/>
    </row>
    <row r="149" spans="1:13" ht="20.25" x14ac:dyDescent="0.2">
      <c r="A149" s="32"/>
      <c r="B149" s="124"/>
      <c r="C149" s="125"/>
      <c r="D149" s="490"/>
      <c r="E149" s="490"/>
      <c r="F149" s="490"/>
      <c r="G149" s="490"/>
      <c r="H149" s="490"/>
      <c r="I149" s="490"/>
      <c r="J149" s="490"/>
      <c r="K149" s="490"/>
      <c r="L149" s="490"/>
      <c r="M149" s="34"/>
    </row>
    <row r="150" spans="1:13" ht="20.25" x14ac:dyDescent="0.2">
      <c r="A150" s="32"/>
      <c r="B150" s="124"/>
      <c r="C150" s="125"/>
      <c r="D150" s="490"/>
      <c r="E150" s="490"/>
      <c r="F150" s="490"/>
      <c r="G150" s="490"/>
      <c r="H150" s="490"/>
      <c r="I150" s="490"/>
      <c r="J150" s="490"/>
      <c r="K150" s="490"/>
      <c r="L150" s="490"/>
      <c r="M150" s="34"/>
    </row>
    <row r="151" spans="1:13" ht="20.25" x14ac:dyDescent="0.2">
      <c r="A151" s="32"/>
      <c r="B151" s="124"/>
      <c r="C151" s="125"/>
      <c r="D151" s="490"/>
      <c r="E151" s="490"/>
      <c r="F151" s="490"/>
      <c r="G151" s="490"/>
      <c r="H151" s="490"/>
      <c r="I151" s="490"/>
      <c r="J151" s="490"/>
      <c r="K151" s="490"/>
      <c r="L151" s="490"/>
      <c r="M151" s="34"/>
    </row>
    <row r="152" spans="1:13" ht="20.25" x14ac:dyDescent="0.2">
      <c r="A152" s="32"/>
      <c r="B152" s="124"/>
      <c r="C152" s="125"/>
      <c r="D152" s="490"/>
      <c r="E152" s="490"/>
      <c r="F152" s="490"/>
      <c r="G152" s="490"/>
      <c r="H152" s="490"/>
      <c r="I152" s="490"/>
      <c r="J152" s="490"/>
      <c r="K152" s="490"/>
      <c r="L152" s="490"/>
      <c r="M152" s="34"/>
    </row>
    <row r="153" spans="1:13" ht="20.25" x14ac:dyDescent="0.2">
      <c r="A153" s="32"/>
      <c r="B153" s="124"/>
      <c r="C153" s="125"/>
      <c r="D153" s="490"/>
      <c r="E153" s="490"/>
      <c r="F153" s="490"/>
      <c r="G153" s="490"/>
      <c r="H153" s="490"/>
      <c r="I153" s="490"/>
      <c r="J153" s="490"/>
      <c r="K153" s="490"/>
      <c r="L153" s="490"/>
      <c r="M153" s="34"/>
    </row>
    <row r="154" spans="1:13" ht="20.25" x14ac:dyDescent="0.2">
      <c r="A154" s="32"/>
      <c r="B154" s="124"/>
      <c r="C154" s="125"/>
      <c r="D154" s="490"/>
      <c r="E154" s="490"/>
      <c r="F154" s="490"/>
      <c r="G154" s="490"/>
      <c r="H154" s="490"/>
      <c r="I154" s="490"/>
      <c r="J154" s="490"/>
      <c r="K154" s="490"/>
      <c r="L154" s="490"/>
      <c r="M154" s="34"/>
    </row>
    <row r="155" spans="1:13" ht="20.25" x14ac:dyDescent="0.2">
      <c r="A155" s="32"/>
      <c r="B155" s="124"/>
      <c r="C155" s="125"/>
      <c r="D155" s="490"/>
      <c r="E155" s="490"/>
      <c r="F155" s="490"/>
      <c r="G155" s="490"/>
      <c r="H155" s="490"/>
      <c r="I155" s="490"/>
      <c r="J155" s="490"/>
      <c r="K155" s="490"/>
      <c r="L155" s="490"/>
      <c r="M155" s="34"/>
    </row>
    <row r="156" spans="1:13" ht="20.25" x14ac:dyDescent="0.2">
      <c r="A156" s="32"/>
      <c r="B156" s="124"/>
      <c r="C156" s="125"/>
      <c r="D156" s="490"/>
      <c r="E156" s="490"/>
      <c r="F156" s="490"/>
      <c r="G156" s="490"/>
      <c r="H156" s="490"/>
      <c r="I156" s="490"/>
      <c r="J156" s="490"/>
      <c r="K156" s="490"/>
      <c r="L156" s="490"/>
      <c r="M156" s="34"/>
    </row>
    <row r="157" spans="1:13" ht="20.25" x14ac:dyDescent="0.2">
      <c r="A157" s="32"/>
      <c r="B157" s="124"/>
      <c r="C157" s="125"/>
      <c r="D157" s="490"/>
      <c r="E157" s="490"/>
      <c r="F157" s="490"/>
      <c r="G157" s="490"/>
      <c r="H157" s="490"/>
      <c r="I157" s="490"/>
      <c r="J157" s="490"/>
      <c r="K157" s="490"/>
      <c r="L157" s="490"/>
      <c r="M157" s="34"/>
    </row>
    <row r="158" spans="1:13" ht="20.25" x14ac:dyDescent="0.2">
      <c r="A158" s="32"/>
      <c r="B158" s="124"/>
      <c r="C158" s="125"/>
      <c r="D158" s="490"/>
      <c r="E158" s="490"/>
      <c r="F158" s="490"/>
      <c r="G158" s="490"/>
      <c r="H158" s="490"/>
      <c r="I158" s="490"/>
      <c r="J158" s="490"/>
      <c r="K158" s="490"/>
      <c r="L158" s="490"/>
      <c r="M158" s="34"/>
    </row>
    <row r="159" spans="1:13" ht="20.25" x14ac:dyDescent="0.2">
      <c r="A159" s="32"/>
      <c r="B159" s="124"/>
      <c r="C159" s="125"/>
      <c r="D159" s="490"/>
      <c r="E159" s="490"/>
      <c r="F159" s="490"/>
      <c r="G159" s="490"/>
      <c r="H159" s="490"/>
      <c r="I159" s="490"/>
      <c r="J159" s="490"/>
      <c r="K159" s="490"/>
      <c r="L159" s="490"/>
      <c r="M159" s="34"/>
    </row>
    <row r="160" spans="1:13" ht="20.25" x14ac:dyDescent="0.2">
      <c r="A160" s="32"/>
      <c r="B160" s="124"/>
      <c r="C160" s="125"/>
      <c r="D160" s="490"/>
      <c r="E160" s="490"/>
      <c r="F160" s="490"/>
      <c r="G160" s="490"/>
      <c r="H160" s="490"/>
      <c r="I160" s="490"/>
      <c r="J160" s="490"/>
      <c r="K160" s="490"/>
      <c r="L160" s="490"/>
      <c r="M160" s="34"/>
    </row>
    <row r="161" spans="1:13" ht="20.25" x14ac:dyDescent="0.2">
      <c r="A161" s="32"/>
      <c r="B161" s="124"/>
      <c r="C161" s="125"/>
      <c r="D161" s="490"/>
      <c r="E161" s="490"/>
      <c r="F161" s="490"/>
      <c r="G161" s="490"/>
      <c r="H161" s="490"/>
      <c r="I161" s="490"/>
      <c r="J161" s="490"/>
      <c r="K161" s="490"/>
      <c r="L161" s="490"/>
      <c r="M161" s="34"/>
    </row>
    <row r="162" spans="1:13" ht="20.25" x14ac:dyDescent="0.2">
      <c r="A162" s="32"/>
      <c r="B162" s="124"/>
      <c r="C162" s="125"/>
      <c r="D162" s="490"/>
      <c r="E162" s="490"/>
      <c r="F162" s="490"/>
      <c r="G162" s="490"/>
      <c r="H162" s="490"/>
      <c r="I162" s="490"/>
      <c r="J162" s="490"/>
      <c r="K162" s="490"/>
      <c r="L162" s="490"/>
      <c r="M162" s="34"/>
    </row>
    <row r="163" spans="1:13" ht="20.25" x14ac:dyDescent="0.2">
      <c r="A163" s="32"/>
      <c r="B163" s="124"/>
      <c r="C163" s="125"/>
      <c r="D163" s="490"/>
      <c r="E163" s="490"/>
      <c r="F163" s="490"/>
      <c r="G163" s="490"/>
      <c r="H163" s="490"/>
      <c r="I163" s="490"/>
      <c r="J163" s="490"/>
      <c r="K163" s="490"/>
      <c r="L163" s="490"/>
      <c r="M163" s="34"/>
    </row>
    <row r="164" spans="1:13" ht="20.25" x14ac:dyDescent="0.2">
      <c r="A164" s="32"/>
      <c r="B164" s="124"/>
      <c r="C164" s="125"/>
      <c r="D164" s="490"/>
      <c r="E164" s="490"/>
      <c r="F164" s="490"/>
      <c r="G164" s="490"/>
      <c r="H164" s="490"/>
      <c r="I164" s="490"/>
      <c r="J164" s="490"/>
      <c r="K164" s="490"/>
      <c r="L164" s="490"/>
      <c r="M164" s="34"/>
    </row>
    <row r="165" spans="1:13" ht="20.25" x14ac:dyDescent="0.2">
      <c r="A165" s="32"/>
      <c r="B165" s="124"/>
      <c r="C165" s="125"/>
      <c r="D165" s="490"/>
      <c r="E165" s="490"/>
      <c r="F165" s="490"/>
      <c r="G165" s="490"/>
      <c r="H165" s="490"/>
      <c r="I165" s="490"/>
      <c r="J165" s="490"/>
      <c r="K165" s="490"/>
      <c r="L165" s="490"/>
      <c r="M165" s="34"/>
    </row>
    <row r="166" spans="1:13" ht="20.25" x14ac:dyDescent="0.2">
      <c r="A166" s="32"/>
      <c r="B166" s="124"/>
      <c r="C166" s="125"/>
      <c r="D166" s="490"/>
      <c r="E166" s="490"/>
      <c r="F166" s="490"/>
      <c r="G166" s="490"/>
      <c r="H166" s="490"/>
      <c r="I166" s="490"/>
      <c r="J166" s="490"/>
      <c r="K166" s="490"/>
      <c r="L166" s="490"/>
      <c r="M166" s="34"/>
    </row>
    <row r="167" spans="1:13" ht="20.25" x14ac:dyDescent="0.2">
      <c r="A167" s="32"/>
      <c r="B167" s="124"/>
      <c r="C167" s="125"/>
      <c r="D167" s="490"/>
      <c r="E167" s="490"/>
      <c r="F167" s="490"/>
      <c r="G167" s="490"/>
      <c r="H167" s="490"/>
      <c r="I167" s="490"/>
      <c r="J167" s="490"/>
      <c r="K167" s="490"/>
      <c r="L167" s="490"/>
      <c r="M167" s="34"/>
    </row>
    <row r="168" spans="1:13" ht="20.25" x14ac:dyDescent="0.2">
      <c r="A168" s="32"/>
      <c r="B168" s="124"/>
      <c r="C168" s="125"/>
      <c r="D168" s="490"/>
      <c r="E168" s="490"/>
      <c r="F168" s="490"/>
      <c r="G168" s="490"/>
      <c r="H168" s="490"/>
      <c r="I168" s="490"/>
      <c r="J168" s="490"/>
      <c r="K168" s="490"/>
      <c r="L168" s="490"/>
      <c r="M168" s="34"/>
    </row>
    <row r="169" spans="1:13" ht="20.25" x14ac:dyDescent="0.2">
      <c r="A169" s="32"/>
      <c r="B169" s="124"/>
      <c r="C169" s="125"/>
      <c r="D169" s="490"/>
      <c r="E169" s="490"/>
      <c r="F169" s="490"/>
      <c r="G169" s="490"/>
      <c r="H169" s="490"/>
      <c r="I169" s="490"/>
      <c r="J169" s="490"/>
      <c r="K169" s="490"/>
      <c r="L169" s="490"/>
      <c r="M169" s="34"/>
    </row>
    <row r="170" spans="1:13" ht="20.25" x14ac:dyDescent="0.2">
      <c r="A170" s="32"/>
      <c r="B170" s="124"/>
      <c r="C170" s="125"/>
      <c r="D170" s="490"/>
      <c r="E170" s="490"/>
      <c r="F170" s="490"/>
      <c r="G170" s="490"/>
      <c r="H170" s="490"/>
      <c r="I170" s="490"/>
      <c r="J170" s="490"/>
      <c r="K170" s="490"/>
      <c r="L170" s="490"/>
      <c r="M170" s="34"/>
    </row>
    <row r="171" spans="1:13" ht="20.25" x14ac:dyDescent="0.2">
      <c r="A171" s="32"/>
      <c r="B171" s="124"/>
      <c r="C171" s="125"/>
      <c r="D171" s="490"/>
      <c r="E171" s="490"/>
      <c r="F171" s="490"/>
      <c r="G171" s="490"/>
      <c r="H171" s="490"/>
      <c r="I171" s="490"/>
      <c r="J171" s="490"/>
      <c r="K171" s="490"/>
      <c r="L171" s="490"/>
      <c r="M171" s="34"/>
    </row>
    <row r="172" spans="1:13" ht="20.25" x14ac:dyDescent="0.2">
      <c r="A172" s="32"/>
      <c r="B172" s="124"/>
      <c r="C172" s="125"/>
      <c r="D172" s="490"/>
      <c r="E172" s="490"/>
      <c r="F172" s="490"/>
      <c r="G172" s="490"/>
      <c r="H172" s="490"/>
      <c r="I172" s="490"/>
      <c r="J172" s="490"/>
      <c r="K172" s="490"/>
      <c r="L172" s="490"/>
      <c r="M172" s="34"/>
    </row>
    <row r="173" spans="1:13" ht="20.25" x14ac:dyDescent="0.2">
      <c r="A173" s="32"/>
      <c r="B173" s="124"/>
      <c r="C173" s="125"/>
      <c r="D173" s="490"/>
      <c r="E173" s="490"/>
      <c r="F173" s="490"/>
      <c r="G173" s="490"/>
      <c r="H173" s="490"/>
      <c r="I173" s="490"/>
      <c r="J173" s="490"/>
      <c r="K173" s="490"/>
      <c r="L173" s="490"/>
      <c r="M173" s="34"/>
    </row>
    <row r="174" spans="1:13" ht="20.25" x14ac:dyDescent="0.2">
      <c r="A174" s="32"/>
      <c r="B174" s="124"/>
      <c r="C174" s="125"/>
      <c r="D174" s="490"/>
      <c r="E174" s="490"/>
      <c r="F174" s="490"/>
      <c r="G174" s="490"/>
      <c r="H174" s="490"/>
      <c r="I174" s="490"/>
      <c r="J174" s="490"/>
      <c r="K174" s="490"/>
      <c r="L174" s="490"/>
      <c r="M174" s="34"/>
    </row>
    <row r="175" spans="1:13" ht="20.25" x14ac:dyDescent="0.2">
      <c r="A175" s="32"/>
      <c r="B175" s="124"/>
      <c r="C175" s="125"/>
      <c r="D175" s="490"/>
      <c r="E175" s="490"/>
      <c r="F175" s="490"/>
      <c r="G175" s="490"/>
      <c r="H175" s="490"/>
      <c r="I175" s="490"/>
      <c r="J175" s="490"/>
      <c r="K175" s="490"/>
      <c r="L175" s="490"/>
      <c r="M175" s="34"/>
    </row>
    <row r="176" spans="1:13" ht="20.25" x14ac:dyDescent="0.2">
      <c r="A176" s="32"/>
      <c r="B176" s="124"/>
      <c r="C176" s="125"/>
      <c r="D176" s="490"/>
      <c r="E176" s="490"/>
      <c r="F176" s="490"/>
      <c r="G176" s="490"/>
      <c r="H176" s="490"/>
      <c r="I176" s="490"/>
      <c r="J176" s="490"/>
      <c r="K176" s="490"/>
      <c r="L176" s="490"/>
      <c r="M176" s="34"/>
    </row>
    <row r="177" spans="1:13" ht="20.25" x14ac:dyDescent="0.2">
      <c r="A177" s="32"/>
      <c r="B177" s="124"/>
      <c r="C177" s="125"/>
      <c r="D177" s="490"/>
      <c r="E177" s="490"/>
      <c r="F177" s="490"/>
      <c r="G177" s="490"/>
      <c r="H177" s="490"/>
      <c r="I177" s="490"/>
      <c r="J177" s="490"/>
      <c r="K177" s="490"/>
      <c r="L177" s="490"/>
      <c r="M177" s="34"/>
    </row>
    <row r="178" spans="1:13" ht="20.25" x14ac:dyDescent="0.2">
      <c r="A178" s="32"/>
      <c r="B178" s="124"/>
      <c r="C178" s="125"/>
      <c r="D178" s="490"/>
      <c r="E178" s="490"/>
      <c r="F178" s="490"/>
      <c r="G178" s="490"/>
      <c r="H178" s="490"/>
      <c r="I178" s="490"/>
      <c r="J178" s="490"/>
      <c r="K178" s="490"/>
      <c r="L178" s="490"/>
      <c r="M178" s="34"/>
    </row>
    <row r="179" spans="1:13" ht="20.25" x14ac:dyDescent="0.2">
      <c r="A179" s="32"/>
      <c r="B179" s="124"/>
      <c r="C179" s="125"/>
      <c r="D179" s="490"/>
      <c r="E179" s="490"/>
      <c r="F179" s="490"/>
      <c r="G179" s="490"/>
      <c r="H179" s="490"/>
      <c r="I179" s="490"/>
      <c r="J179" s="490"/>
      <c r="K179" s="490"/>
      <c r="L179" s="490"/>
      <c r="M179" s="34"/>
    </row>
    <row r="180" spans="1:13" ht="20.25" x14ac:dyDescent="0.2">
      <c r="A180" s="32"/>
      <c r="B180" s="124"/>
      <c r="C180" s="125"/>
      <c r="D180" s="490"/>
      <c r="E180" s="490"/>
      <c r="F180" s="490"/>
      <c r="G180" s="490"/>
      <c r="H180" s="490"/>
      <c r="I180" s="490"/>
      <c r="J180" s="490"/>
      <c r="K180" s="490"/>
      <c r="L180" s="490"/>
      <c r="M180" s="34"/>
    </row>
    <row r="181" spans="1:13" ht="20.25" x14ac:dyDescent="0.2">
      <c r="A181" s="32"/>
      <c r="B181" s="124"/>
      <c r="C181" s="125"/>
      <c r="D181" s="490"/>
      <c r="E181" s="490"/>
      <c r="F181" s="490"/>
      <c r="G181" s="490"/>
      <c r="H181" s="490"/>
      <c r="I181" s="490"/>
      <c r="J181" s="490"/>
      <c r="K181" s="490"/>
      <c r="L181" s="490"/>
      <c r="M181" s="34"/>
    </row>
    <row r="182" spans="1:13" ht="21" thickBot="1" x14ac:dyDescent="0.25">
      <c r="A182" s="32"/>
      <c r="B182" s="126"/>
      <c r="C182" s="127"/>
      <c r="D182" s="491"/>
      <c r="E182" s="491"/>
      <c r="F182" s="491"/>
      <c r="G182" s="491"/>
      <c r="H182" s="491"/>
      <c r="I182" s="491"/>
      <c r="J182" s="491"/>
      <c r="K182" s="491"/>
      <c r="L182" s="491"/>
      <c r="M182" s="34"/>
    </row>
    <row r="183" spans="1:13" ht="21" thickBot="1" x14ac:dyDescent="0.25">
      <c r="A183" s="32"/>
      <c r="B183" s="33"/>
      <c r="C183" s="33"/>
      <c r="D183" s="33"/>
      <c r="E183" s="33"/>
      <c r="F183" s="33"/>
      <c r="G183" s="33"/>
      <c r="H183" s="33"/>
      <c r="I183" s="33"/>
      <c r="J183" s="33"/>
      <c r="K183" s="33"/>
      <c r="L183" s="33"/>
      <c r="M183" s="34"/>
    </row>
    <row r="184" spans="1:13" ht="24.75" thickTop="1" thickBot="1" x14ac:dyDescent="0.25">
      <c r="A184" s="24"/>
      <c r="B184" s="25"/>
      <c r="C184" s="25"/>
      <c r="D184" s="25"/>
      <c r="E184" s="26"/>
      <c r="F184" s="27"/>
      <c r="G184" s="27"/>
      <c r="H184" s="27"/>
      <c r="I184" s="27"/>
      <c r="J184" s="25"/>
      <c r="K184" s="25"/>
      <c r="L184" s="28"/>
      <c r="M184" s="29"/>
    </row>
    <row r="185" spans="1:13" x14ac:dyDescent="0.2">
      <c r="A185" s="30"/>
      <c r="B185" s="493" t="s">
        <v>109</v>
      </c>
      <c r="C185" s="494"/>
      <c r="D185" s="494"/>
      <c r="E185" s="494"/>
      <c r="F185" s="494"/>
      <c r="G185" s="494"/>
      <c r="H185" s="494"/>
      <c r="I185" s="494"/>
      <c r="J185" s="494"/>
      <c r="K185" s="494"/>
      <c r="L185" s="495"/>
      <c r="M185" s="34"/>
    </row>
    <row r="186" spans="1:13" x14ac:dyDescent="0.2">
      <c r="A186" s="30"/>
      <c r="B186" s="496"/>
      <c r="C186" s="497"/>
      <c r="D186" s="497"/>
      <c r="E186" s="497"/>
      <c r="F186" s="497"/>
      <c r="G186" s="497"/>
      <c r="H186" s="497"/>
      <c r="I186" s="497"/>
      <c r="J186" s="497"/>
      <c r="K186" s="497"/>
      <c r="L186" s="498"/>
      <c r="M186" s="34"/>
    </row>
    <row r="187" spans="1:13" x14ac:dyDescent="0.2">
      <c r="A187" s="30"/>
      <c r="B187" s="496"/>
      <c r="C187" s="497"/>
      <c r="D187" s="497"/>
      <c r="E187" s="497"/>
      <c r="F187" s="497"/>
      <c r="G187" s="497"/>
      <c r="H187" s="497"/>
      <c r="I187" s="497"/>
      <c r="J187" s="497"/>
      <c r="K187" s="497"/>
      <c r="L187" s="498"/>
      <c r="M187" s="34"/>
    </row>
    <row r="188" spans="1:13" x14ac:dyDescent="0.2">
      <c r="A188" s="30"/>
      <c r="B188" s="496"/>
      <c r="C188" s="497"/>
      <c r="D188" s="497"/>
      <c r="E188" s="497"/>
      <c r="F188" s="497"/>
      <c r="G188" s="497"/>
      <c r="H188" s="497"/>
      <c r="I188" s="497"/>
      <c r="J188" s="497"/>
      <c r="K188" s="497"/>
      <c r="L188" s="498"/>
      <c r="M188" s="34"/>
    </row>
    <row r="189" spans="1:13" ht="21" thickBot="1" x14ac:dyDescent="0.25">
      <c r="A189" s="31"/>
      <c r="B189" s="499"/>
      <c r="C189" s="500"/>
      <c r="D189" s="500"/>
      <c r="E189" s="500"/>
      <c r="F189" s="500"/>
      <c r="G189" s="500"/>
      <c r="H189" s="500"/>
      <c r="I189" s="500"/>
      <c r="J189" s="500"/>
      <c r="K189" s="500"/>
      <c r="L189" s="501"/>
      <c r="M189" s="34"/>
    </row>
    <row r="190" spans="1:13" ht="20.25" x14ac:dyDescent="0.2">
      <c r="A190" s="32"/>
      <c r="B190" s="33"/>
      <c r="C190" s="33"/>
      <c r="D190" s="33"/>
      <c r="E190" s="33"/>
      <c r="F190" s="33"/>
      <c r="G190" s="33"/>
      <c r="H190" s="33"/>
      <c r="I190" s="33"/>
      <c r="J190" s="33"/>
      <c r="K190" s="33"/>
      <c r="L190" s="33"/>
      <c r="M190" s="34"/>
    </row>
    <row r="191" spans="1:13" ht="21" thickBot="1" x14ac:dyDescent="0.25">
      <c r="A191" s="32"/>
      <c r="B191" s="33"/>
      <c r="C191" s="33"/>
      <c r="D191" s="33"/>
      <c r="E191" s="33"/>
      <c r="F191" s="33"/>
      <c r="G191" s="33"/>
      <c r="H191" s="33"/>
      <c r="I191" s="33"/>
      <c r="J191" s="33"/>
      <c r="K191" s="33"/>
      <c r="L191" s="33"/>
      <c r="M191" s="34"/>
    </row>
    <row r="192" spans="1:13" ht="21" thickBot="1" x14ac:dyDescent="0.25">
      <c r="A192" s="32"/>
      <c r="B192" s="502" t="s">
        <v>110</v>
      </c>
      <c r="C192" s="503"/>
      <c r="D192" s="503"/>
      <c r="E192" s="503"/>
      <c r="F192" s="503"/>
      <c r="G192" s="503"/>
      <c r="H192" s="503"/>
      <c r="I192" s="503"/>
      <c r="J192" s="503"/>
      <c r="K192" s="503"/>
      <c r="L192" s="504"/>
      <c r="M192" s="34"/>
    </row>
    <row r="193" spans="1:13" ht="21" thickBot="1" x14ac:dyDescent="0.25">
      <c r="A193" s="32"/>
      <c r="B193" s="63" t="s">
        <v>10</v>
      </c>
      <c r="C193" s="62" t="s">
        <v>111</v>
      </c>
      <c r="D193" s="502" t="s">
        <v>83</v>
      </c>
      <c r="E193" s="503"/>
      <c r="F193" s="503"/>
      <c r="G193" s="503"/>
      <c r="H193" s="503"/>
      <c r="I193" s="503"/>
      <c r="J193" s="503"/>
      <c r="K193" s="503"/>
      <c r="L193" s="504"/>
      <c r="M193" s="34"/>
    </row>
    <row r="194" spans="1:13" ht="20.25" x14ac:dyDescent="0.2">
      <c r="A194" s="32"/>
      <c r="B194" s="122"/>
      <c r="C194" s="123"/>
      <c r="D194" s="492"/>
      <c r="E194" s="492"/>
      <c r="F194" s="492"/>
      <c r="G194" s="492"/>
      <c r="H194" s="492"/>
      <c r="I194" s="492"/>
      <c r="J194" s="492"/>
      <c r="K194" s="492"/>
      <c r="L194" s="492"/>
      <c r="M194" s="34"/>
    </row>
    <row r="195" spans="1:13" ht="20.25" x14ac:dyDescent="0.2">
      <c r="A195" s="32"/>
      <c r="B195" s="124"/>
      <c r="C195" s="125"/>
      <c r="D195" s="490"/>
      <c r="E195" s="490"/>
      <c r="F195" s="490"/>
      <c r="G195" s="490"/>
      <c r="H195" s="490"/>
      <c r="I195" s="490"/>
      <c r="J195" s="490"/>
      <c r="K195" s="490"/>
      <c r="L195" s="490"/>
      <c r="M195" s="34"/>
    </row>
    <row r="196" spans="1:13" ht="20.25" x14ac:dyDescent="0.2">
      <c r="A196" s="32"/>
      <c r="B196" s="124"/>
      <c r="C196" s="125"/>
      <c r="D196" s="490"/>
      <c r="E196" s="490"/>
      <c r="F196" s="490"/>
      <c r="G196" s="490"/>
      <c r="H196" s="490"/>
      <c r="I196" s="490"/>
      <c r="J196" s="490"/>
      <c r="K196" s="490"/>
      <c r="L196" s="490"/>
      <c r="M196" s="34"/>
    </row>
    <row r="197" spans="1:13" ht="20.25" x14ac:dyDescent="0.2">
      <c r="A197" s="32"/>
      <c r="B197" s="124"/>
      <c r="C197" s="125"/>
      <c r="D197" s="490"/>
      <c r="E197" s="490"/>
      <c r="F197" s="490"/>
      <c r="G197" s="490"/>
      <c r="H197" s="490"/>
      <c r="I197" s="490"/>
      <c r="J197" s="490"/>
      <c r="K197" s="490"/>
      <c r="L197" s="490"/>
      <c r="M197" s="34"/>
    </row>
    <row r="198" spans="1:13" ht="20.25" x14ac:dyDescent="0.2">
      <c r="A198" s="32"/>
      <c r="B198" s="124"/>
      <c r="C198" s="125"/>
      <c r="D198" s="490"/>
      <c r="E198" s="490"/>
      <c r="F198" s="490"/>
      <c r="G198" s="490"/>
      <c r="H198" s="490"/>
      <c r="I198" s="490"/>
      <c r="J198" s="490"/>
      <c r="K198" s="490"/>
      <c r="L198" s="490"/>
      <c r="M198" s="34"/>
    </row>
    <row r="199" spans="1:13" ht="20.25" x14ac:dyDescent="0.2">
      <c r="A199" s="32"/>
      <c r="B199" s="124"/>
      <c r="C199" s="125"/>
      <c r="D199" s="490"/>
      <c r="E199" s="490"/>
      <c r="F199" s="490"/>
      <c r="G199" s="490"/>
      <c r="H199" s="490"/>
      <c r="I199" s="490"/>
      <c r="J199" s="490"/>
      <c r="K199" s="490"/>
      <c r="L199" s="490"/>
      <c r="M199" s="34"/>
    </row>
    <row r="200" spans="1:13" ht="20.25" x14ac:dyDescent="0.2">
      <c r="A200" s="32"/>
      <c r="B200" s="124"/>
      <c r="C200" s="125"/>
      <c r="D200" s="490"/>
      <c r="E200" s="490"/>
      <c r="F200" s="490"/>
      <c r="G200" s="490"/>
      <c r="H200" s="490"/>
      <c r="I200" s="490"/>
      <c r="J200" s="490"/>
      <c r="K200" s="490"/>
      <c r="L200" s="490"/>
      <c r="M200" s="34"/>
    </row>
    <row r="201" spans="1:13" ht="20.25" x14ac:dyDescent="0.2">
      <c r="A201" s="32"/>
      <c r="B201" s="124"/>
      <c r="C201" s="125"/>
      <c r="D201" s="490"/>
      <c r="E201" s="490"/>
      <c r="F201" s="490"/>
      <c r="G201" s="490"/>
      <c r="H201" s="490"/>
      <c r="I201" s="490"/>
      <c r="J201" s="490"/>
      <c r="K201" s="490"/>
      <c r="L201" s="490"/>
      <c r="M201" s="34"/>
    </row>
    <row r="202" spans="1:13" ht="20.25" x14ac:dyDescent="0.2">
      <c r="A202" s="32"/>
      <c r="B202" s="124"/>
      <c r="C202" s="125"/>
      <c r="D202" s="490"/>
      <c r="E202" s="490"/>
      <c r="F202" s="490"/>
      <c r="G202" s="490"/>
      <c r="H202" s="490"/>
      <c r="I202" s="490"/>
      <c r="J202" s="490"/>
      <c r="K202" s="490"/>
      <c r="L202" s="490"/>
      <c r="M202" s="34"/>
    </row>
    <row r="203" spans="1:13" ht="20.25" x14ac:dyDescent="0.2">
      <c r="A203" s="32"/>
      <c r="B203" s="124"/>
      <c r="C203" s="125"/>
      <c r="D203" s="490"/>
      <c r="E203" s="490"/>
      <c r="F203" s="490"/>
      <c r="G203" s="490"/>
      <c r="H203" s="490"/>
      <c r="I203" s="490"/>
      <c r="J203" s="490"/>
      <c r="K203" s="490"/>
      <c r="L203" s="490"/>
      <c r="M203" s="34"/>
    </row>
    <row r="204" spans="1:13" ht="20.25" x14ac:dyDescent="0.2">
      <c r="A204" s="32"/>
      <c r="B204" s="124"/>
      <c r="C204" s="125"/>
      <c r="D204" s="490"/>
      <c r="E204" s="490"/>
      <c r="F204" s="490"/>
      <c r="G204" s="490"/>
      <c r="H204" s="490"/>
      <c r="I204" s="490"/>
      <c r="J204" s="490"/>
      <c r="K204" s="490"/>
      <c r="L204" s="490"/>
      <c r="M204" s="34"/>
    </row>
    <row r="205" spans="1:13" ht="20.25" x14ac:dyDescent="0.2">
      <c r="A205" s="32"/>
      <c r="B205" s="124"/>
      <c r="C205" s="125"/>
      <c r="D205" s="490"/>
      <c r="E205" s="490"/>
      <c r="F205" s="490"/>
      <c r="G205" s="490"/>
      <c r="H205" s="490"/>
      <c r="I205" s="490"/>
      <c r="J205" s="490"/>
      <c r="K205" s="490"/>
      <c r="L205" s="490"/>
      <c r="M205" s="34"/>
    </row>
    <row r="206" spans="1:13" ht="20.25" x14ac:dyDescent="0.2">
      <c r="A206" s="32"/>
      <c r="B206" s="124"/>
      <c r="C206" s="125"/>
      <c r="D206" s="490"/>
      <c r="E206" s="490"/>
      <c r="F206" s="490"/>
      <c r="G206" s="490"/>
      <c r="H206" s="490"/>
      <c r="I206" s="490"/>
      <c r="J206" s="490"/>
      <c r="K206" s="490"/>
      <c r="L206" s="490"/>
      <c r="M206" s="34"/>
    </row>
    <row r="207" spans="1:13" ht="20.25" x14ac:dyDescent="0.2">
      <c r="A207" s="32"/>
      <c r="B207" s="124"/>
      <c r="C207" s="125"/>
      <c r="D207" s="490"/>
      <c r="E207" s="490"/>
      <c r="F207" s="490"/>
      <c r="G207" s="490"/>
      <c r="H207" s="490"/>
      <c r="I207" s="490"/>
      <c r="J207" s="490"/>
      <c r="K207" s="490"/>
      <c r="L207" s="490"/>
      <c r="M207" s="34"/>
    </row>
    <row r="208" spans="1:13" ht="20.25" x14ac:dyDescent="0.2">
      <c r="A208" s="32"/>
      <c r="B208" s="124"/>
      <c r="C208" s="125"/>
      <c r="D208" s="490"/>
      <c r="E208" s="490"/>
      <c r="F208" s="490"/>
      <c r="G208" s="490"/>
      <c r="H208" s="490"/>
      <c r="I208" s="490"/>
      <c r="J208" s="490"/>
      <c r="K208" s="490"/>
      <c r="L208" s="490"/>
      <c r="M208" s="34"/>
    </row>
    <row r="209" spans="1:13" ht="20.25" x14ac:dyDescent="0.2">
      <c r="A209" s="32"/>
      <c r="B209" s="124"/>
      <c r="C209" s="125"/>
      <c r="D209" s="490"/>
      <c r="E209" s="490"/>
      <c r="F209" s="490"/>
      <c r="G209" s="490"/>
      <c r="H209" s="490"/>
      <c r="I209" s="490"/>
      <c r="J209" s="490"/>
      <c r="K209" s="490"/>
      <c r="L209" s="490"/>
      <c r="M209" s="34"/>
    </row>
    <row r="210" spans="1:13" ht="20.25" x14ac:dyDescent="0.2">
      <c r="A210" s="32"/>
      <c r="B210" s="124"/>
      <c r="C210" s="125"/>
      <c r="D210" s="490"/>
      <c r="E210" s="490"/>
      <c r="F210" s="490"/>
      <c r="G210" s="490"/>
      <c r="H210" s="490"/>
      <c r="I210" s="490"/>
      <c r="J210" s="490"/>
      <c r="K210" s="490"/>
      <c r="L210" s="490"/>
      <c r="M210" s="34"/>
    </row>
    <row r="211" spans="1:13" ht="20.25" x14ac:dyDescent="0.2">
      <c r="A211" s="32"/>
      <c r="B211" s="124"/>
      <c r="C211" s="125"/>
      <c r="D211" s="490"/>
      <c r="E211" s="490"/>
      <c r="F211" s="490"/>
      <c r="G211" s="490"/>
      <c r="H211" s="490"/>
      <c r="I211" s="490"/>
      <c r="J211" s="490"/>
      <c r="K211" s="490"/>
      <c r="L211" s="490"/>
      <c r="M211" s="34"/>
    </row>
    <row r="212" spans="1:13" ht="20.25" x14ac:dyDescent="0.2">
      <c r="A212" s="32"/>
      <c r="B212" s="124"/>
      <c r="C212" s="125"/>
      <c r="D212" s="490"/>
      <c r="E212" s="490"/>
      <c r="F212" s="490"/>
      <c r="G212" s="490"/>
      <c r="H212" s="490"/>
      <c r="I212" s="490"/>
      <c r="J212" s="490"/>
      <c r="K212" s="490"/>
      <c r="L212" s="490"/>
      <c r="M212" s="34"/>
    </row>
    <row r="213" spans="1:13" ht="20.25" x14ac:dyDescent="0.2">
      <c r="A213" s="32"/>
      <c r="B213" s="124"/>
      <c r="C213" s="125"/>
      <c r="D213" s="490"/>
      <c r="E213" s="490"/>
      <c r="F213" s="490"/>
      <c r="G213" s="490"/>
      <c r="H213" s="490"/>
      <c r="I213" s="490"/>
      <c r="J213" s="490"/>
      <c r="K213" s="490"/>
      <c r="L213" s="490"/>
      <c r="M213" s="34"/>
    </row>
    <row r="214" spans="1:13" ht="20.25" x14ac:dyDescent="0.2">
      <c r="A214" s="32"/>
      <c r="B214" s="124"/>
      <c r="C214" s="125"/>
      <c r="D214" s="490"/>
      <c r="E214" s="490"/>
      <c r="F214" s="490"/>
      <c r="G214" s="490"/>
      <c r="H214" s="490"/>
      <c r="I214" s="490"/>
      <c r="J214" s="490"/>
      <c r="K214" s="490"/>
      <c r="L214" s="490"/>
      <c r="M214" s="34"/>
    </row>
    <row r="215" spans="1:13" ht="20.25" x14ac:dyDescent="0.2">
      <c r="A215" s="32"/>
      <c r="B215" s="124"/>
      <c r="C215" s="125"/>
      <c r="D215" s="490"/>
      <c r="E215" s="490"/>
      <c r="F215" s="490"/>
      <c r="G215" s="490"/>
      <c r="H215" s="490"/>
      <c r="I215" s="490"/>
      <c r="J215" s="490"/>
      <c r="K215" s="490"/>
      <c r="L215" s="490"/>
      <c r="M215" s="34"/>
    </row>
    <row r="216" spans="1:13" ht="20.25" x14ac:dyDescent="0.2">
      <c r="A216" s="32"/>
      <c r="B216" s="124"/>
      <c r="C216" s="125"/>
      <c r="D216" s="490"/>
      <c r="E216" s="490"/>
      <c r="F216" s="490"/>
      <c r="G216" s="490"/>
      <c r="H216" s="490"/>
      <c r="I216" s="490"/>
      <c r="J216" s="490"/>
      <c r="K216" s="490"/>
      <c r="L216" s="490"/>
      <c r="M216" s="34"/>
    </row>
    <row r="217" spans="1:13" ht="20.25" x14ac:dyDescent="0.2">
      <c r="A217" s="32"/>
      <c r="B217" s="124"/>
      <c r="C217" s="125"/>
      <c r="D217" s="490"/>
      <c r="E217" s="490"/>
      <c r="F217" s="490"/>
      <c r="G217" s="490"/>
      <c r="H217" s="490"/>
      <c r="I217" s="490"/>
      <c r="J217" s="490"/>
      <c r="K217" s="490"/>
      <c r="L217" s="490"/>
      <c r="M217" s="34"/>
    </row>
    <row r="218" spans="1:13" ht="20.25" x14ac:dyDescent="0.2">
      <c r="A218" s="32"/>
      <c r="B218" s="124"/>
      <c r="C218" s="125"/>
      <c r="D218" s="490"/>
      <c r="E218" s="490"/>
      <c r="F218" s="490"/>
      <c r="G218" s="490"/>
      <c r="H218" s="490"/>
      <c r="I218" s="490"/>
      <c r="J218" s="490"/>
      <c r="K218" s="490"/>
      <c r="L218" s="490"/>
      <c r="M218" s="34"/>
    </row>
    <row r="219" spans="1:13" ht="20.25" x14ac:dyDescent="0.2">
      <c r="A219" s="32"/>
      <c r="B219" s="124"/>
      <c r="C219" s="125"/>
      <c r="D219" s="490"/>
      <c r="E219" s="490"/>
      <c r="F219" s="490"/>
      <c r="G219" s="490"/>
      <c r="H219" s="490"/>
      <c r="I219" s="490"/>
      <c r="J219" s="490"/>
      <c r="K219" s="490"/>
      <c r="L219" s="490"/>
      <c r="M219" s="34"/>
    </row>
    <row r="220" spans="1:13" ht="20.25" x14ac:dyDescent="0.2">
      <c r="A220" s="32"/>
      <c r="B220" s="124"/>
      <c r="C220" s="125"/>
      <c r="D220" s="490"/>
      <c r="E220" s="490"/>
      <c r="F220" s="490"/>
      <c r="G220" s="490"/>
      <c r="H220" s="490"/>
      <c r="I220" s="490"/>
      <c r="J220" s="490"/>
      <c r="K220" s="490"/>
      <c r="L220" s="490"/>
      <c r="M220" s="34"/>
    </row>
    <row r="221" spans="1:13" ht="20.25" x14ac:dyDescent="0.2">
      <c r="A221" s="32"/>
      <c r="B221" s="124"/>
      <c r="C221" s="125"/>
      <c r="D221" s="490"/>
      <c r="E221" s="490"/>
      <c r="F221" s="490"/>
      <c r="G221" s="490"/>
      <c r="H221" s="490"/>
      <c r="I221" s="490"/>
      <c r="J221" s="490"/>
      <c r="K221" s="490"/>
      <c r="L221" s="490"/>
      <c r="M221" s="34"/>
    </row>
    <row r="222" spans="1:13" ht="20.25" x14ac:dyDescent="0.2">
      <c r="A222" s="32"/>
      <c r="B222" s="124"/>
      <c r="C222" s="125"/>
      <c r="D222" s="490"/>
      <c r="E222" s="490"/>
      <c r="F222" s="490"/>
      <c r="G222" s="490"/>
      <c r="H222" s="490"/>
      <c r="I222" s="490"/>
      <c r="J222" s="490"/>
      <c r="K222" s="490"/>
      <c r="L222" s="490"/>
      <c r="M222" s="34"/>
    </row>
    <row r="223" spans="1:13" ht="20.25" x14ac:dyDescent="0.2">
      <c r="A223" s="32"/>
      <c r="B223" s="124"/>
      <c r="C223" s="125"/>
      <c r="D223" s="490"/>
      <c r="E223" s="490"/>
      <c r="F223" s="490"/>
      <c r="G223" s="490"/>
      <c r="H223" s="490"/>
      <c r="I223" s="490"/>
      <c r="J223" s="490"/>
      <c r="K223" s="490"/>
      <c r="L223" s="490"/>
      <c r="M223" s="34"/>
    </row>
    <row r="224" spans="1:13" ht="20.25" x14ac:dyDescent="0.2">
      <c r="A224" s="32"/>
      <c r="B224" s="124"/>
      <c r="C224" s="125"/>
      <c r="D224" s="490"/>
      <c r="E224" s="490"/>
      <c r="F224" s="490"/>
      <c r="G224" s="490"/>
      <c r="H224" s="490"/>
      <c r="I224" s="490"/>
      <c r="J224" s="490"/>
      <c r="K224" s="490"/>
      <c r="L224" s="490"/>
      <c r="M224" s="34"/>
    </row>
    <row r="225" spans="1:13" ht="20.25" x14ac:dyDescent="0.2">
      <c r="A225" s="32"/>
      <c r="B225" s="124"/>
      <c r="C225" s="125"/>
      <c r="D225" s="490"/>
      <c r="E225" s="490"/>
      <c r="F225" s="490"/>
      <c r="G225" s="490"/>
      <c r="H225" s="490"/>
      <c r="I225" s="490"/>
      <c r="J225" s="490"/>
      <c r="K225" s="490"/>
      <c r="L225" s="490"/>
      <c r="M225" s="34"/>
    </row>
    <row r="226" spans="1:13" ht="20.25" x14ac:dyDescent="0.2">
      <c r="A226" s="32"/>
      <c r="B226" s="124"/>
      <c r="C226" s="125"/>
      <c r="D226" s="490"/>
      <c r="E226" s="490"/>
      <c r="F226" s="490"/>
      <c r="G226" s="490"/>
      <c r="H226" s="490"/>
      <c r="I226" s="490"/>
      <c r="J226" s="490"/>
      <c r="K226" s="490"/>
      <c r="L226" s="490"/>
      <c r="M226" s="34"/>
    </row>
    <row r="227" spans="1:13" ht="20.25" x14ac:dyDescent="0.2">
      <c r="A227" s="32"/>
      <c r="B227" s="124"/>
      <c r="C227" s="125"/>
      <c r="D227" s="490"/>
      <c r="E227" s="490"/>
      <c r="F227" s="490"/>
      <c r="G227" s="490"/>
      <c r="H227" s="490"/>
      <c r="I227" s="490"/>
      <c r="J227" s="490"/>
      <c r="K227" s="490"/>
      <c r="L227" s="490"/>
      <c r="M227" s="34"/>
    </row>
    <row r="228" spans="1:13" ht="20.25" x14ac:dyDescent="0.2">
      <c r="A228" s="32"/>
      <c r="B228" s="124"/>
      <c r="C228" s="125"/>
      <c r="D228" s="490"/>
      <c r="E228" s="490"/>
      <c r="F228" s="490"/>
      <c r="G228" s="490"/>
      <c r="H228" s="490"/>
      <c r="I228" s="490"/>
      <c r="J228" s="490"/>
      <c r="K228" s="490"/>
      <c r="L228" s="490"/>
      <c r="M228" s="34"/>
    </row>
    <row r="229" spans="1:13" ht="20.25" x14ac:dyDescent="0.2">
      <c r="A229" s="32"/>
      <c r="B229" s="124"/>
      <c r="C229" s="125"/>
      <c r="D229" s="490"/>
      <c r="E229" s="490"/>
      <c r="F229" s="490"/>
      <c r="G229" s="490"/>
      <c r="H229" s="490"/>
      <c r="I229" s="490"/>
      <c r="J229" s="490"/>
      <c r="K229" s="490"/>
      <c r="L229" s="490"/>
      <c r="M229" s="34"/>
    </row>
    <row r="230" spans="1:13" ht="20.25" x14ac:dyDescent="0.2">
      <c r="A230" s="32"/>
      <c r="B230" s="124"/>
      <c r="C230" s="125"/>
      <c r="D230" s="490"/>
      <c r="E230" s="490"/>
      <c r="F230" s="490"/>
      <c r="G230" s="490"/>
      <c r="H230" s="490"/>
      <c r="I230" s="490"/>
      <c r="J230" s="490"/>
      <c r="K230" s="490"/>
      <c r="L230" s="490"/>
      <c r="M230" s="34"/>
    </row>
    <row r="231" spans="1:13" ht="20.25" x14ac:dyDescent="0.2">
      <c r="A231" s="32"/>
      <c r="B231" s="124"/>
      <c r="C231" s="125"/>
      <c r="D231" s="490"/>
      <c r="E231" s="490"/>
      <c r="F231" s="490"/>
      <c r="G231" s="490"/>
      <c r="H231" s="490"/>
      <c r="I231" s="490"/>
      <c r="J231" s="490"/>
      <c r="K231" s="490"/>
      <c r="L231" s="490"/>
      <c r="M231" s="34"/>
    </row>
    <row r="232" spans="1:13" ht="20.25" x14ac:dyDescent="0.2">
      <c r="A232" s="32"/>
      <c r="B232" s="124"/>
      <c r="C232" s="125"/>
      <c r="D232" s="490"/>
      <c r="E232" s="490"/>
      <c r="F232" s="490"/>
      <c r="G232" s="490"/>
      <c r="H232" s="490"/>
      <c r="I232" s="490"/>
      <c r="J232" s="490"/>
      <c r="K232" s="490"/>
      <c r="L232" s="490"/>
      <c r="M232" s="34"/>
    </row>
    <row r="233" spans="1:13" ht="20.25" x14ac:dyDescent="0.2">
      <c r="A233" s="32"/>
      <c r="B233" s="124"/>
      <c r="C233" s="125"/>
      <c r="D233" s="490"/>
      <c r="E233" s="490"/>
      <c r="F233" s="490"/>
      <c r="G233" s="490"/>
      <c r="H233" s="490"/>
      <c r="I233" s="490"/>
      <c r="J233" s="490"/>
      <c r="K233" s="490"/>
      <c r="L233" s="490"/>
      <c r="M233" s="34"/>
    </row>
    <row r="234" spans="1:13" ht="20.25" x14ac:dyDescent="0.2">
      <c r="A234" s="32"/>
      <c r="B234" s="124"/>
      <c r="C234" s="125"/>
      <c r="D234" s="490"/>
      <c r="E234" s="490"/>
      <c r="F234" s="490"/>
      <c r="G234" s="490"/>
      <c r="H234" s="490"/>
      <c r="I234" s="490"/>
      <c r="J234" s="490"/>
      <c r="K234" s="490"/>
      <c r="L234" s="490"/>
      <c r="M234" s="34"/>
    </row>
    <row r="235" spans="1:13" ht="20.25" x14ac:dyDescent="0.2">
      <c r="A235" s="32"/>
      <c r="B235" s="124"/>
      <c r="C235" s="125"/>
      <c r="D235" s="490"/>
      <c r="E235" s="490"/>
      <c r="F235" s="490"/>
      <c r="G235" s="490"/>
      <c r="H235" s="490"/>
      <c r="I235" s="490"/>
      <c r="J235" s="490"/>
      <c r="K235" s="490"/>
      <c r="L235" s="490"/>
      <c r="M235" s="34"/>
    </row>
    <row r="236" spans="1:13" ht="20.25" x14ac:dyDescent="0.2">
      <c r="A236" s="32"/>
      <c r="B236" s="124"/>
      <c r="C236" s="125"/>
      <c r="D236" s="490"/>
      <c r="E236" s="490"/>
      <c r="F236" s="490"/>
      <c r="G236" s="490"/>
      <c r="H236" s="490"/>
      <c r="I236" s="490"/>
      <c r="J236" s="490"/>
      <c r="K236" s="490"/>
      <c r="L236" s="490"/>
      <c r="M236" s="34"/>
    </row>
    <row r="237" spans="1:13" ht="20.25" x14ac:dyDescent="0.2">
      <c r="A237" s="32"/>
      <c r="B237" s="124"/>
      <c r="C237" s="125"/>
      <c r="D237" s="490"/>
      <c r="E237" s="490"/>
      <c r="F237" s="490"/>
      <c r="G237" s="490"/>
      <c r="H237" s="490"/>
      <c r="I237" s="490"/>
      <c r="J237" s="490"/>
      <c r="K237" s="490"/>
      <c r="L237" s="490"/>
      <c r="M237" s="34"/>
    </row>
    <row r="238" spans="1:13" ht="20.25" x14ac:dyDescent="0.2">
      <c r="A238" s="32"/>
      <c r="B238" s="124"/>
      <c r="C238" s="125"/>
      <c r="D238" s="490"/>
      <c r="E238" s="490"/>
      <c r="F238" s="490"/>
      <c r="G238" s="490"/>
      <c r="H238" s="490"/>
      <c r="I238" s="490"/>
      <c r="J238" s="490"/>
      <c r="K238" s="490"/>
      <c r="L238" s="490"/>
      <c r="M238" s="34"/>
    </row>
    <row r="239" spans="1:13" ht="20.25" x14ac:dyDescent="0.2">
      <c r="A239" s="32"/>
      <c r="B239" s="124"/>
      <c r="C239" s="125"/>
      <c r="D239" s="490"/>
      <c r="E239" s="490"/>
      <c r="F239" s="490"/>
      <c r="G239" s="490"/>
      <c r="H239" s="490"/>
      <c r="I239" s="490"/>
      <c r="J239" s="490"/>
      <c r="K239" s="490"/>
      <c r="L239" s="490"/>
      <c r="M239" s="34"/>
    </row>
    <row r="240" spans="1:13" ht="20.25" x14ac:dyDescent="0.2">
      <c r="A240" s="32"/>
      <c r="B240" s="124"/>
      <c r="C240" s="125"/>
      <c r="D240" s="490"/>
      <c r="E240" s="490"/>
      <c r="F240" s="490"/>
      <c r="G240" s="490"/>
      <c r="H240" s="490"/>
      <c r="I240" s="490"/>
      <c r="J240" s="490"/>
      <c r="K240" s="490"/>
      <c r="L240" s="490"/>
      <c r="M240" s="34"/>
    </row>
    <row r="241" spans="1:13" ht="20.25" x14ac:dyDescent="0.2">
      <c r="A241" s="32"/>
      <c r="B241" s="124"/>
      <c r="C241" s="125"/>
      <c r="D241" s="490"/>
      <c r="E241" s="490"/>
      <c r="F241" s="490"/>
      <c r="G241" s="490"/>
      <c r="H241" s="490"/>
      <c r="I241" s="490"/>
      <c r="J241" s="490"/>
      <c r="K241" s="490"/>
      <c r="L241" s="490"/>
      <c r="M241" s="34"/>
    </row>
    <row r="242" spans="1:13" ht="20.25" x14ac:dyDescent="0.2">
      <c r="A242" s="32"/>
      <c r="B242" s="124"/>
      <c r="C242" s="125"/>
      <c r="D242" s="490"/>
      <c r="E242" s="490"/>
      <c r="F242" s="490"/>
      <c r="G242" s="490"/>
      <c r="H242" s="490"/>
      <c r="I242" s="490"/>
      <c r="J242" s="490"/>
      <c r="K242" s="490"/>
      <c r="L242" s="490"/>
      <c r="M242" s="34"/>
    </row>
    <row r="243" spans="1:13" ht="21" thickBot="1" x14ac:dyDescent="0.25">
      <c r="A243" s="32"/>
      <c r="B243" s="126"/>
      <c r="C243" s="127"/>
      <c r="D243" s="491"/>
      <c r="E243" s="491"/>
      <c r="F243" s="491"/>
      <c r="G243" s="491"/>
      <c r="H243" s="491"/>
      <c r="I243" s="491"/>
      <c r="J243" s="491"/>
      <c r="K243" s="491"/>
      <c r="L243" s="491"/>
      <c r="M243" s="34"/>
    </row>
    <row r="244" spans="1:13" ht="21" thickBot="1" x14ac:dyDescent="0.25">
      <c r="A244" s="32"/>
      <c r="B244" s="33"/>
      <c r="C244" s="33"/>
      <c r="D244" s="33"/>
      <c r="E244" s="33"/>
      <c r="F244" s="33"/>
      <c r="G244" s="33"/>
      <c r="H244" s="33"/>
      <c r="I244" s="33"/>
      <c r="J244" s="33"/>
      <c r="K244" s="33"/>
      <c r="L244" s="33"/>
      <c r="M244" s="34"/>
    </row>
    <row r="245" spans="1:13" ht="24.75" thickTop="1" thickBot="1" x14ac:dyDescent="0.25">
      <c r="A245" s="24"/>
      <c r="B245" s="25"/>
      <c r="C245" s="25"/>
      <c r="D245" s="25"/>
      <c r="E245" s="26"/>
      <c r="F245" s="27"/>
      <c r="G245" s="27"/>
      <c r="H245" s="27"/>
      <c r="I245" s="27"/>
      <c r="J245" s="25"/>
      <c r="K245" s="25"/>
      <c r="L245" s="28"/>
      <c r="M245" s="29"/>
    </row>
    <row r="246" spans="1:13" x14ac:dyDescent="0.2">
      <c r="A246" s="30"/>
      <c r="B246" s="493" t="s">
        <v>109</v>
      </c>
      <c r="C246" s="494"/>
      <c r="D246" s="494"/>
      <c r="E246" s="494"/>
      <c r="F246" s="494"/>
      <c r="G246" s="494"/>
      <c r="H246" s="494"/>
      <c r="I246" s="494"/>
      <c r="J246" s="494"/>
      <c r="K246" s="494"/>
      <c r="L246" s="495"/>
      <c r="M246" s="34"/>
    </row>
    <row r="247" spans="1:13" x14ac:dyDescent="0.2">
      <c r="A247" s="30"/>
      <c r="B247" s="496"/>
      <c r="C247" s="497"/>
      <c r="D247" s="497"/>
      <c r="E247" s="497"/>
      <c r="F247" s="497"/>
      <c r="G247" s="497"/>
      <c r="H247" s="497"/>
      <c r="I247" s="497"/>
      <c r="J247" s="497"/>
      <c r="K247" s="497"/>
      <c r="L247" s="498"/>
      <c r="M247" s="34"/>
    </row>
    <row r="248" spans="1:13" x14ac:dyDescent="0.2">
      <c r="A248" s="30"/>
      <c r="B248" s="496"/>
      <c r="C248" s="497"/>
      <c r="D248" s="497"/>
      <c r="E248" s="497"/>
      <c r="F248" s="497"/>
      <c r="G248" s="497"/>
      <c r="H248" s="497"/>
      <c r="I248" s="497"/>
      <c r="J248" s="497"/>
      <c r="K248" s="497"/>
      <c r="L248" s="498"/>
      <c r="M248" s="34"/>
    </row>
    <row r="249" spans="1:13" x14ac:dyDescent="0.2">
      <c r="A249" s="30"/>
      <c r="B249" s="496"/>
      <c r="C249" s="497"/>
      <c r="D249" s="497"/>
      <c r="E249" s="497"/>
      <c r="F249" s="497"/>
      <c r="G249" s="497"/>
      <c r="H249" s="497"/>
      <c r="I249" s="497"/>
      <c r="J249" s="497"/>
      <c r="K249" s="497"/>
      <c r="L249" s="498"/>
      <c r="M249" s="34"/>
    </row>
    <row r="250" spans="1:13" ht="21" thickBot="1" x14ac:dyDescent="0.25">
      <c r="A250" s="31"/>
      <c r="B250" s="499"/>
      <c r="C250" s="500"/>
      <c r="D250" s="500"/>
      <c r="E250" s="500"/>
      <c r="F250" s="500"/>
      <c r="G250" s="500"/>
      <c r="H250" s="500"/>
      <c r="I250" s="500"/>
      <c r="J250" s="500"/>
      <c r="K250" s="500"/>
      <c r="L250" s="501"/>
      <c r="M250" s="34"/>
    </row>
    <row r="251" spans="1:13" ht="20.25" x14ac:dyDescent="0.2">
      <c r="A251" s="32"/>
      <c r="B251" s="33"/>
      <c r="C251" s="33"/>
      <c r="D251" s="33"/>
      <c r="E251" s="33"/>
      <c r="F251" s="33"/>
      <c r="G251" s="33"/>
      <c r="H251" s="33"/>
      <c r="I251" s="33"/>
      <c r="J251" s="33"/>
      <c r="K251" s="33"/>
      <c r="L251" s="33"/>
      <c r="M251" s="34"/>
    </row>
    <row r="252" spans="1:13" ht="21" thickBot="1" x14ac:dyDescent="0.25">
      <c r="A252" s="32"/>
      <c r="B252" s="33"/>
      <c r="C252" s="33"/>
      <c r="D252" s="33"/>
      <c r="E252" s="33"/>
      <c r="F252" s="33"/>
      <c r="G252" s="33"/>
      <c r="H252" s="33"/>
      <c r="I252" s="33"/>
      <c r="J252" s="33"/>
      <c r="K252" s="33"/>
      <c r="L252" s="33"/>
      <c r="M252" s="34"/>
    </row>
    <row r="253" spans="1:13" ht="21" thickBot="1" x14ac:dyDescent="0.25">
      <c r="A253" s="32"/>
      <c r="B253" s="502" t="s">
        <v>110</v>
      </c>
      <c r="C253" s="503"/>
      <c r="D253" s="503"/>
      <c r="E253" s="503"/>
      <c r="F253" s="503"/>
      <c r="G253" s="503"/>
      <c r="H253" s="503"/>
      <c r="I253" s="503"/>
      <c r="J253" s="503"/>
      <c r="K253" s="503"/>
      <c r="L253" s="504"/>
      <c r="M253" s="34"/>
    </row>
    <row r="254" spans="1:13" ht="21" thickBot="1" x14ac:dyDescent="0.25">
      <c r="A254" s="32"/>
      <c r="B254" s="63" t="s">
        <v>10</v>
      </c>
      <c r="C254" s="62" t="s">
        <v>111</v>
      </c>
      <c r="D254" s="502" t="s">
        <v>83</v>
      </c>
      <c r="E254" s="503"/>
      <c r="F254" s="503"/>
      <c r="G254" s="503"/>
      <c r="H254" s="503"/>
      <c r="I254" s="503"/>
      <c r="J254" s="503"/>
      <c r="K254" s="503"/>
      <c r="L254" s="504"/>
      <c r="M254" s="34"/>
    </row>
    <row r="255" spans="1:13" ht="20.25" x14ac:dyDescent="0.2">
      <c r="A255" s="32"/>
      <c r="B255" s="122"/>
      <c r="C255" s="123"/>
      <c r="D255" s="492"/>
      <c r="E255" s="492"/>
      <c r="F255" s="492"/>
      <c r="G255" s="492"/>
      <c r="H255" s="492"/>
      <c r="I255" s="492"/>
      <c r="J255" s="492"/>
      <c r="K255" s="492"/>
      <c r="L255" s="492"/>
      <c r="M255" s="34"/>
    </row>
    <row r="256" spans="1:13" ht="20.25" x14ac:dyDescent="0.2">
      <c r="A256" s="32"/>
      <c r="B256" s="124"/>
      <c r="C256" s="125"/>
      <c r="D256" s="490"/>
      <c r="E256" s="490"/>
      <c r="F256" s="490"/>
      <c r="G256" s="490"/>
      <c r="H256" s="490"/>
      <c r="I256" s="490"/>
      <c r="J256" s="490"/>
      <c r="K256" s="490"/>
      <c r="L256" s="490"/>
      <c r="M256" s="34"/>
    </row>
    <row r="257" spans="1:13" ht="20.25" x14ac:dyDescent="0.2">
      <c r="A257" s="32"/>
      <c r="B257" s="124"/>
      <c r="C257" s="125"/>
      <c r="D257" s="490"/>
      <c r="E257" s="490"/>
      <c r="F257" s="490"/>
      <c r="G257" s="490"/>
      <c r="H257" s="490"/>
      <c r="I257" s="490"/>
      <c r="J257" s="490"/>
      <c r="K257" s="490"/>
      <c r="L257" s="490"/>
      <c r="M257" s="34"/>
    </row>
    <row r="258" spans="1:13" ht="20.25" x14ac:dyDescent="0.2">
      <c r="A258" s="32"/>
      <c r="B258" s="124"/>
      <c r="C258" s="125"/>
      <c r="D258" s="490"/>
      <c r="E258" s="490"/>
      <c r="F258" s="490"/>
      <c r="G258" s="490"/>
      <c r="H258" s="490"/>
      <c r="I258" s="490"/>
      <c r="J258" s="490"/>
      <c r="K258" s="490"/>
      <c r="L258" s="490"/>
      <c r="M258" s="34"/>
    </row>
    <row r="259" spans="1:13" ht="20.25" x14ac:dyDescent="0.2">
      <c r="A259" s="32"/>
      <c r="B259" s="124"/>
      <c r="C259" s="125"/>
      <c r="D259" s="490"/>
      <c r="E259" s="490"/>
      <c r="F259" s="490"/>
      <c r="G259" s="490"/>
      <c r="H259" s="490"/>
      <c r="I259" s="490"/>
      <c r="J259" s="490"/>
      <c r="K259" s="490"/>
      <c r="L259" s="490"/>
      <c r="M259" s="34"/>
    </row>
    <row r="260" spans="1:13" ht="20.25" x14ac:dyDescent="0.2">
      <c r="A260" s="32"/>
      <c r="B260" s="124"/>
      <c r="C260" s="125"/>
      <c r="D260" s="490"/>
      <c r="E260" s="490"/>
      <c r="F260" s="490"/>
      <c r="G260" s="490"/>
      <c r="H260" s="490"/>
      <c r="I260" s="490"/>
      <c r="J260" s="490"/>
      <c r="K260" s="490"/>
      <c r="L260" s="490"/>
      <c r="M260" s="34"/>
    </row>
    <row r="261" spans="1:13" ht="20.25" x14ac:dyDescent="0.2">
      <c r="A261" s="32"/>
      <c r="B261" s="124"/>
      <c r="C261" s="125"/>
      <c r="D261" s="490"/>
      <c r="E261" s="490"/>
      <c r="F261" s="490"/>
      <c r="G261" s="490"/>
      <c r="H261" s="490"/>
      <c r="I261" s="490"/>
      <c r="J261" s="490"/>
      <c r="K261" s="490"/>
      <c r="L261" s="490"/>
      <c r="M261" s="34"/>
    </row>
    <row r="262" spans="1:13" ht="20.25" x14ac:dyDescent="0.2">
      <c r="A262" s="32"/>
      <c r="B262" s="124"/>
      <c r="C262" s="125"/>
      <c r="D262" s="490"/>
      <c r="E262" s="490"/>
      <c r="F262" s="490"/>
      <c r="G262" s="490"/>
      <c r="H262" s="490"/>
      <c r="I262" s="490"/>
      <c r="J262" s="490"/>
      <c r="K262" s="490"/>
      <c r="L262" s="490"/>
      <c r="M262" s="34"/>
    </row>
    <row r="263" spans="1:13" ht="20.25" x14ac:dyDescent="0.2">
      <c r="A263" s="32"/>
      <c r="B263" s="124"/>
      <c r="C263" s="125"/>
      <c r="D263" s="490"/>
      <c r="E263" s="490"/>
      <c r="F263" s="490"/>
      <c r="G263" s="490"/>
      <c r="H263" s="490"/>
      <c r="I263" s="490"/>
      <c r="J263" s="490"/>
      <c r="K263" s="490"/>
      <c r="L263" s="490"/>
      <c r="M263" s="34"/>
    </row>
    <row r="264" spans="1:13" ht="20.25" x14ac:dyDescent="0.2">
      <c r="A264" s="32"/>
      <c r="B264" s="124"/>
      <c r="C264" s="125"/>
      <c r="D264" s="490"/>
      <c r="E264" s="490"/>
      <c r="F264" s="490"/>
      <c r="G264" s="490"/>
      <c r="H264" s="490"/>
      <c r="I264" s="490"/>
      <c r="J264" s="490"/>
      <c r="K264" s="490"/>
      <c r="L264" s="490"/>
      <c r="M264" s="34"/>
    </row>
    <row r="265" spans="1:13" ht="20.25" x14ac:dyDescent="0.2">
      <c r="A265" s="32"/>
      <c r="B265" s="124"/>
      <c r="C265" s="125"/>
      <c r="D265" s="490"/>
      <c r="E265" s="490"/>
      <c r="F265" s="490"/>
      <c r="G265" s="490"/>
      <c r="H265" s="490"/>
      <c r="I265" s="490"/>
      <c r="J265" s="490"/>
      <c r="K265" s="490"/>
      <c r="L265" s="490"/>
      <c r="M265" s="34"/>
    </row>
    <row r="266" spans="1:13" ht="20.25" x14ac:dyDescent="0.2">
      <c r="A266" s="32"/>
      <c r="B266" s="124"/>
      <c r="C266" s="125"/>
      <c r="D266" s="490"/>
      <c r="E266" s="490"/>
      <c r="F266" s="490"/>
      <c r="G266" s="490"/>
      <c r="H266" s="490"/>
      <c r="I266" s="490"/>
      <c r="J266" s="490"/>
      <c r="K266" s="490"/>
      <c r="L266" s="490"/>
      <c r="M266" s="34"/>
    </row>
    <row r="267" spans="1:13" ht="20.25" x14ac:dyDescent="0.2">
      <c r="A267" s="32"/>
      <c r="B267" s="124"/>
      <c r="C267" s="125"/>
      <c r="D267" s="490"/>
      <c r="E267" s="490"/>
      <c r="F267" s="490"/>
      <c r="G267" s="490"/>
      <c r="H267" s="490"/>
      <c r="I267" s="490"/>
      <c r="J267" s="490"/>
      <c r="K267" s="490"/>
      <c r="L267" s="490"/>
      <c r="M267" s="34"/>
    </row>
    <row r="268" spans="1:13" ht="20.25" x14ac:dyDescent="0.2">
      <c r="A268" s="32"/>
      <c r="B268" s="124"/>
      <c r="C268" s="125"/>
      <c r="D268" s="490"/>
      <c r="E268" s="490"/>
      <c r="F268" s="490"/>
      <c r="G268" s="490"/>
      <c r="H268" s="490"/>
      <c r="I268" s="490"/>
      <c r="J268" s="490"/>
      <c r="K268" s="490"/>
      <c r="L268" s="490"/>
      <c r="M268" s="34"/>
    </row>
    <row r="269" spans="1:13" ht="20.25" x14ac:dyDescent="0.2">
      <c r="A269" s="32"/>
      <c r="B269" s="124"/>
      <c r="C269" s="125"/>
      <c r="D269" s="490"/>
      <c r="E269" s="490"/>
      <c r="F269" s="490"/>
      <c r="G269" s="490"/>
      <c r="H269" s="490"/>
      <c r="I269" s="490"/>
      <c r="J269" s="490"/>
      <c r="K269" s="490"/>
      <c r="L269" s="490"/>
      <c r="M269" s="34"/>
    </row>
    <row r="270" spans="1:13" ht="20.25" x14ac:dyDescent="0.2">
      <c r="A270" s="32"/>
      <c r="B270" s="124"/>
      <c r="C270" s="125"/>
      <c r="D270" s="490"/>
      <c r="E270" s="490"/>
      <c r="F270" s="490"/>
      <c r="G270" s="490"/>
      <c r="H270" s="490"/>
      <c r="I270" s="490"/>
      <c r="J270" s="490"/>
      <c r="K270" s="490"/>
      <c r="L270" s="490"/>
      <c r="M270" s="34"/>
    </row>
    <row r="271" spans="1:13" ht="20.25" x14ac:dyDescent="0.2">
      <c r="A271" s="32"/>
      <c r="B271" s="124"/>
      <c r="C271" s="125"/>
      <c r="D271" s="490"/>
      <c r="E271" s="490"/>
      <c r="F271" s="490"/>
      <c r="G271" s="490"/>
      <c r="H271" s="490"/>
      <c r="I271" s="490"/>
      <c r="J271" s="490"/>
      <c r="K271" s="490"/>
      <c r="L271" s="490"/>
      <c r="M271" s="34"/>
    </row>
    <row r="272" spans="1:13" ht="20.25" x14ac:dyDescent="0.2">
      <c r="A272" s="32"/>
      <c r="B272" s="124"/>
      <c r="C272" s="125"/>
      <c r="D272" s="490"/>
      <c r="E272" s="490"/>
      <c r="F272" s="490"/>
      <c r="G272" s="490"/>
      <c r="H272" s="490"/>
      <c r="I272" s="490"/>
      <c r="J272" s="490"/>
      <c r="K272" s="490"/>
      <c r="L272" s="490"/>
      <c r="M272" s="34"/>
    </row>
    <row r="273" spans="1:13" ht="20.25" x14ac:dyDescent="0.2">
      <c r="A273" s="32"/>
      <c r="B273" s="124"/>
      <c r="C273" s="125"/>
      <c r="D273" s="490"/>
      <c r="E273" s="490"/>
      <c r="F273" s="490"/>
      <c r="G273" s="490"/>
      <c r="H273" s="490"/>
      <c r="I273" s="490"/>
      <c r="J273" s="490"/>
      <c r="K273" s="490"/>
      <c r="L273" s="490"/>
      <c r="M273" s="34"/>
    </row>
    <row r="274" spans="1:13" ht="20.25" x14ac:dyDescent="0.2">
      <c r="A274" s="32"/>
      <c r="B274" s="124"/>
      <c r="C274" s="125"/>
      <c r="D274" s="490"/>
      <c r="E274" s="490"/>
      <c r="F274" s="490"/>
      <c r="G274" s="490"/>
      <c r="H274" s="490"/>
      <c r="I274" s="490"/>
      <c r="J274" s="490"/>
      <c r="K274" s="490"/>
      <c r="L274" s="490"/>
      <c r="M274" s="34"/>
    </row>
    <row r="275" spans="1:13" ht="20.25" x14ac:dyDescent="0.2">
      <c r="A275" s="32"/>
      <c r="B275" s="124"/>
      <c r="C275" s="125"/>
      <c r="D275" s="490"/>
      <c r="E275" s="490"/>
      <c r="F275" s="490"/>
      <c r="G275" s="490"/>
      <c r="H275" s="490"/>
      <c r="I275" s="490"/>
      <c r="J275" s="490"/>
      <c r="K275" s="490"/>
      <c r="L275" s="490"/>
      <c r="M275" s="34"/>
    </row>
    <row r="276" spans="1:13" ht="20.25" x14ac:dyDescent="0.2">
      <c r="A276" s="32"/>
      <c r="B276" s="124"/>
      <c r="C276" s="125"/>
      <c r="D276" s="490"/>
      <c r="E276" s="490"/>
      <c r="F276" s="490"/>
      <c r="G276" s="490"/>
      <c r="H276" s="490"/>
      <c r="I276" s="490"/>
      <c r="J276" s="490"/>
      <c r="K276" s="490"/>
      <c r="L276" s="490"/>
      <c r="M276" s="34"/>
    </row>
    <row r="277" spans="1:13" ht="20.25" x14ac:dyDescent="0.2">
      <c r="A277" s="32"/>
      <c r="B277" s="124"/>
      <c r="C277" s="125"/>
      <c r="D277" s="490"/>
      <c r="E277" s="490"/>
      <c r="F277" s="490"/>
      <c r="G277" s="490"/>
      <c r="H277" s="490"/>
      <c r="I277" s="490"/>
      <c r="J277" s="490"/>
      <c r="K277" s="490"/>
      <c r="L277" s="490"/>
      <c r="M277" s="34"/>
    </row>
    <row r="278" spans="1:13" ht="20.25" x14ac:dyDescent="0.2">
      <c r="A278" s="32"/>
      <c r="B278" s="124"/>
      <c r="C278" s="125"/>
      <c r="D278" s="490"/>
      <c r="E278" s="490"/>
      <c r="F278" s="490"/>
      <c r="G278" s="490"/>
      <c r="H278" s="490"/>
      <c r="I278" s="490"/>
      <c r="J278" s="490"/>
      <c r="K278" s="490"/>
      <c r="L278" s="490"/>
      <c r="M278" s="34"/>
    </row>
    <row r="279" spans="1:13" ht="20.25" x14ac:dyDescent="0.2">
      <c r="A279" s="32"/>
      <c r="B279" s="124"/>
      <c r="C279" s="125"/>
      <c r="D279" s="490"/>
      <c r="E279" s="490"/>
      <c r="F279" s="490"/>
      <c r="G279" s="490"/>
      <c r="H279" s="490"/>
      <c r="I279" s="490"/>
      <c r="J279" s="490"/>
      <c r="K279" s="490"/>
      <c r="L279" s="490"/>
      <c r="M279" s="34"/>
    </row>
    <row r="280" spans="1:13" ht="20.25" x14ac:dyDescent="0.2">
      <c r="A280" s="32"/>
      <c r="B280" s="124"/>
      <c r="C280" s="125"/>
      <c r="D280" s="490"/>
      <c r="E280" s="490"/>
      <c r="F280" s="490"/>
      <c r="G280" s="490"/>
      <c r="H280" s="490"/>
      <c r="I280" s="490"/>
      <c r="J280" s="490"/>
      <c r="K280" s="490"/>
      <c r="L280" s="490"/>
      <c r="M280" s="34"/>
    </row>
    <row r="281" spans="1:13" ht="20.25" x14ac:dyDescent="0.2">
      <c r="A281" s="32"/>
      <c r="B281" s="124"/>
      <c r="C281" s="125"/>
      <c r="D281" s="490"/>
      <c r="E281" s="490"/>
      <c r="F281" s="490"/>
      <c r="G281" s="490"/>
      <c r="H281" s="490"/>
      <c r="I281" s="490"/>
      <c r="J281" s="490"/>
      <c r="K281" s="490"/>
      <c r="L281" s="490"/>
      <c r="M281" s="34"/>
    </row>
    <row r="282" spans="1:13" ht="20.25" x14ac:dyDescent="0.2">
      <c r="A282" s="32"/>
      <c r="B282" s="124"/>
      <c r="C282" s="125"/>
      <c r="D282" s="490"/>
      <c r="E282" s="490"/>
      <c r="F282" s="490"/>
      <c r="G282" s="490"/>
      <c r="H282" s="490"/>
      <c r="I282" s="490"/>
      <c r="J282" s="490"/>
      <c r="K282" s="490"/>
      <c r="L282" s="490"/>
      <c r="M282" s="34"/>
    </row>
    <row r="283" spans="1:13" ht="20.25" x14ac:dyDescent="0.2">
      <c r="A283" s="32"/>
      <c r="B283" s="124"/>
      <c r="C283" s="125"/>
      <c r="D283" s="490"/>
      <c r="E283" s="490"/>
      <c r="F283" s="490"/>
      <c r="G283" s="490"/>
      <c r="H283" s="490"/>
      <c r="I283" s="490"/>
      <c r="J283" s="490"/>
      <c r="K283" s="490"/>
      <c r="L283" s="490"/>
      <c r="M283" s="34"/>
    </row>
    <row r="284" spans="1:13" ht="20.25" x14ac:dyDescent="0.2">
      <c r="A284" s="32"/>
      <c r="B284" s="124"/>
      <c r="C284" s="125"/>
      <c r="D284" s="490"/>
      <c r="E284" s="490"/>
      <c r="F284" s="490"/>
      <c r="G284" s="490"/>
      <c r="H284" s="490"/>
      <c r="I284" s="490"/>
      <c r="J284" s="490"/>
      <c r="K284" s="490"/>
      <c r="L284" s="490"/>
      <c r="M284" s="34"/>
    </row>
    <row r="285" spans="1:13" ht="20.25" x14ac:dyDescent="0.2">
      <c r="A285" s="32"/>
      <c r="B285" s="124"/>
      <c r="C285" s="125"/>
      <c r="D285" s="490"/>
      <c r="E285" s="490"/>
      <c r="F285" s="490"/>
      <c r="G285" s="490"/>
      <c r="H285" s="490"/>
      <c r="I285" s="490"/>
      <c r="J285" s="490"/>
      <c r="K285" s="490"/>
      <c r="L285" s="490"/>
      <c r="M285" s="34"/>
    </row>
    <row r="286" spans="1:13" ht="20.25" x14ac:dyDescent="0.2">
      <c r="A286" s="32"/>
      <c r="B286" s="124"/>
      <c r="C286" s="125"/>
      <c r="D286" s="490"/>
      <c r="E286" s="490"/>
      <c r="F286" s="490"/>
      <c r="G286" s="490"/>
      <c r="H286" s="490"/>
      <c r="I286" s="490"/>
      <c r="J286" s="490"/>
      <c r="K286" s="490"/>
      <c r="L286" s="490"/>
      <c r="M286" s="34"/>
    </row>
    <row r="287" spans="1:13" ht="20.25" x14ac:dyDescent="0.2">
      <c r="A287" s="32"/>
      <c r="B287" s="124"/>
      <c r="C287" s="125"/>
      <c r="D287" s="490"/>
      <c r="E287" s="490"/>
      <c r="F287" s="490"/>
      <c r="G287" s="490"/>
      <c r="H287" s="490"/>
      <c r="I287" s="490"/>
      <c r="J287" s="490"/>
      <c r="K287" s="490"/>
      <c r="L287" s="490"/>
      <c r="M287" s="34"/>
    </row>
    <row r="288" spans="1:13" ht="20.25" x14ac:dyDescent="0.2">
      <c r="A288" s="32"/>
      <c r="B288" s="124"/>
      <c r="C288" s="125"/>
      <c r="D288" s="490"/>
      <c r="E288" s="490"/>
      <c r="F288" s="490"/>
      <c r="G288" s="490"/>
      <c r="H288" s="490"/>
      <c r="I288" s="490"/>
      <c r="J288" s="490"/>
      <c r="K288" s="490"/>
      <c r="L288" s="490"/>
      <c r="M288" s="34"/>
    </row>
    <row r="289" spans="1:13" ht="20.25" x14ac:dyDescent="0.2">
      <c r="A289" s="32"/>
      <c r="B289" s="124"/>
      <c r="C289" s="125"/>
      <c r="D289" s="490"/>
      <c r="E289" s="490"/>
      <c r="F289" s="490"/>
      <c r="G289" s="490"/>
      <c r="H289" s="490"/>
      <c r="I289" s="490"/>
      <c r="J289" s="490"/>
      <c r="K289" s="490"/>
      <c r="L289" s="490"/>
      <c r="M289" s="34"/>
    </row>
    <row r="290" spans="1:13" ht="20.25" x14ac:dyDescent="0.2">
      <c r="A290" s="32"/>
      <c r="B290" s="124"/>
      <c r="C290" s="125"/>
      <c r="D290" s="490"/>
      <c r="E290" s="490"/>
      <c r="F290" s="490"/>
      <c r="G290" s="490"/>
      <c r="H290" s="490"/>
      <c r="I290" s="490"/>
      <c r="J290" s="490"/>
      <c r="K290" s="490"/>
      <c r="L290" s="490"/>
      <c r="M290" s="34"/>
    </row>
    <row r="291" spans="1:13" ht="20.25" x14ac:dyDescent="0.2">
      <c r="A291" s="32"/>
      <c r="B291" s="124"/>
      <c r="C291" s="125"/>
      <c r="D291" s="490"/>
      <c r="E291" s="490"/>
      <c r="F291" s="490"/>
      <c r="G291" s="490"/>
      <c r="H291" s="490"/>
      <c r="I291" s="490"/>
      <c r="J291" s="490"/>
      <c r="K291" s="490"/>
      <c r="L291" s="490"/>
      <c r="M291" s="34"/>
    </row>
    <row r="292" spans="1:13" ht="20.25" x14ac:dyDescent="0.2">
      <c r="A292" s="32"/>
      <c r="B292" s="124"/>
      <c r="C292" s="125"/>
      <c r="D292" s="490"/>
      <c r="E292" s="490"/>
      <c r="F292" s="490"/>
      <c r="G292" s="490"/>
      <c r="H292" s="490"/>
      <c r="I292" s="490"/>
      <c r="J292" s="490"/>
      <c r="K292" s="490"/>
      <c r="L292" s="490"/>
      <c r="M292" s="34"/>
    </row>
    <row r="293" spans="1:13" ht="20.25" x14ac:dyDescent="0.2">
      <c r="A293" s="32"/>
      <c r="B293" s="124"/>
      <c r="C293" s="125"/>
      <c r="D293" s="490"/>
      <c r="E293" s="490"/>
      <c r="F293" s="490"/>
      <c r="G293" s="490"/>
      <c r="H293" s="490"/>
      <c r="I293" s="490"/>
      <c r="J293" s="490"/>
      <c r="K293" s="490"/>
      <c r="L293" s="490"/>
      <c r="M293" s="34"/>
    </row>
    <row r="294" spans="1:13" ht="20.25" x14ac:dyDescent="0.2">
      <c r="A294" s="32"/>
      <c r="B294" s="124"/>
      <c r="C294" s="125"/>
      <c r="D294" s="490"/>
      <c r="E294" s="490"/>
      <c r="F294" s="490"/>
      <c r="G294" s="490"/>
      <c r="H294" s="490"/>
      <c r="I294" s="490"/>
      <c r="J294" s="490"/>
      <c r="K294" s="490"/>
      <c r="L294" s="490"/>
      <c r="M294" s="34"/>
    </row>
    <row r="295" spans="1:13" ht="20.25" x14ac:dyDescent="0.2">
      <c r="A295" s="32"/>
      <c r="B295" s="124"/>
      <c r="C295" s="125"/>
      <c r="D295" s="490"/>
      <c r="E295" s="490"/>
      <c r="F295" s="490"/>
      <c r="G295" s="490"/>
      <c r="H295" s="490"/>
      <c r="I295" s="490"/>
      <c r="J295" s="490"/>
      <c r="K295" s="490"/>
      <c r="L295" s="490"/>
      <c r="M295" s="34"/>
    </row>
    <row r="296" spans="1:13" ht="20.25" x14ac:dyDescent="0.2">
      <c r="A296" s="32"/>
      <c r="B296" s="124"/>
      <c r="C296" s="125"/>
      <c r="D296" s="490"/>
      <c r="E296" s="490"/>
      <c r="F296" s="490"/>
      <c r="G296" s="490"/>
      <c r="H296" s="490"/>
      <c r="I296" s="490"/>
      <c r="J296" s="490"/>
      <c r="K296" s="490"/>
      <c r="L296" s="490"/>
      <c r="M296" s="34"/>
    </row>
    <row r="297" spans="1:13" ht="20.25" x14ac:dyDescent="0.2">
      <c r="A297" s="32"/>
      <c r="B297" s="124"/>
      <c r="C297" s="125"/>
      <c r="D297" s="490"/>
      <c r="E297" s="490"/>
      <c r="F297" s="490"/>
      <c r="G297" s="490"/>
      <c r="H297" s="490"/>
      <c r="I297" s="490"/>
      <c r="J297" s="490"/>
      <c r="K297" s="490"/>
      <c r="L297" s="490"/>
      <c r="M297" s="34"/>
    </row>
    <row r="298" spans="1:13" ht="20.25" x14ac:dyDescent="0.2">
      <c r="A298" s="32"/>
      <c r="B298" s="124"/>
      <c r="C298" s="125"/>
      <c r="D298" s="490"/>
      <c r="E298" s="490"/>
      <c r="F298" s="490"/>
      <c r="G298" s="490"/>
      <c r="H298" s="490"/>
      <c r="I298" s="490"/>
      <c r="J298" s="490"/>
      <c r="K298" s="490"/>
      <c r="L298" s="490"/>
      <c r="M298" s="34"/>
    </row>
    <row r="299" spans="1:13" ht="20.25" x14ac:dyDescent="0.2">
      <c r="A299" s="32"/>
      <c r="B299" s="124"/>
      <c r="C299" s="125"/>
      <c r="D299" s="490"/>
      <c r="E299" s="490"/>
      <c r="F299" s="490"/>
      <c r="G299" s="490"/>
      <c r="H299" s="490"/>
      <c r="I299" s="490"/>
      <c r="J299" s="490"/>
      <c r="K299" s="490"/>
      <c r="L299" s="490"/>
      <c r="M299" s="34"/>
    </row>
    <row r="300" spans="1:13" ht="20.25" x14ac:dyDescent="0.2">
      <c r="A300" s="32"/>
      <c r="B300" s="124"/>
      <c r="C300" s="125"/>
      <c r="D300" s="490"/>
      <c r="E300" s="490"/>
      <c r="F300" s="490"/>
      <c r="G300" s="490"/>
      <c r="H300" s="490"/>
      <c r="I300" s="490"/>
      <c r="J300" s="490"/>
      <c r="K300" s="490"/>
      <c r="L300" s="490"/>
      <c r="M300" s="34"/>
    </row>
    <row r="301" spans="1:13" ht="20.25" x14ac:dyDescent="0.2">
      <c r="A301" s="32"/>
      <c r="B301" s="124"/>
      <c r="C301" s="125"/>
      <c r="D301" s="490"/>
      <c r="E301" s="490"/>
      <c r="F301" s="490"/>
      <c r="G301" s="490"/>
      <c r="H301" s="490"/>
      <c r="I301" s="490"/>
      <c r="J301" s="490"/>
      <c r="K301" s="490"/>
      <c r="L301" s="490"/>
      <c r="M301" s="34"/>
    </row>
    <row r="302" spans="1:13" ht="20.25" x14ac:dyDescent="0.2">
      <c r="A302" s="32"/>
      <c r="B302" s="124"/>
      <c r="C302" s="125"/>
      <c r="D302" s="490"/>
      <c r="E302" s="490"/>
      <c r="F302" s="490"/>
      <c r="G302" s="490"/>
      <c r="H302" s="490"/>
      <c r="I302" s="490"/>
      <c r="J302" s="490"/>
      <c r="K302" s="490"/>
      <c r="L302" s="490"/>
      <c r="M302" s="34"/>
    </row>
    <row r="303" spans="1:13" ht="20.25" x14ac:dyDescent="0.2">
      <c r="A303" s="32"/>
      <c r="B303" s="124"/>
      <c r="C303" s="125"/>
      <c r="D303" s="490"/>
      <c r="E303" s="490"/>
      <c r="F303" s="490"/>
      <c r="G303" s="490"/>
      <c r="H303" s="490"/>
      <c r="I303" s="490"/>
      <c r="J303" s="490"/>
      <c r="K303" s="490"/>
      <c r="L303" s="490"/>
      <c r="M303" s="34"/>
    </row>
    <row r="304" spans="1:13" ht="21" thickBot="1" x14ac:dyDescent="0.25">
      <c r="A304" s="32"/>
      <c r="B304" s="126"/>
      <c r="C304" s="127"/>
      <c r="D304" s="491"/>
      <c r="E304" s="491"/>
      <c r="F304" s="491"/>
      <c r="G304" s="491"/>
      <c r="H304" s="491"/>
      <c r="I304" s="491"/>
      <c r="J304" s="491"/>
      <c r="K304" s="491"/>
      <c r="L304" s="491"/>
      <c r="M304" s="34"/>
    </row>
    <row r="305" spans="1:13" ht="21" thickBot="1" x14ac:dyDescent="0.25">
      <c r="A305" s="32"/>
      <c r="B305" s="33"/>
      <c r="C305" s="33"/>
      <c r="D305" s="33"/>
      <c r="E305" s="33"/>
      <c r="F305" s="33"/>
      <c r="G305" s="33"/>
      <c r="H305" s="33"/>
      <c r="I305" s="33"/>
      <c r="J305" s="33"/>
      <c r="K305" s="33"/>
      <c r="L305" s="33"/>
      <c r="M305" s="34"/>
    </row>
    <row r="306" spans="1:13" ht="24.75" thickTop="1" thickBot="1" x14ac:dyDescent="0.25">
      <c r="A306" s="24"/>
      <c r="B306" s="25"/>
      <c r="C306" s="25"/>
      <c r="D306" s="25"/>
      <c r="E306" s="26"/>
      <c r="F306" s="27"/>
      <c r="G306" s="27"/>
      <c r="H306" s="27"/>
      <c r="I306" s="27"/>
      <c r="J306" s="25"/>
      <c r="K306" s="25"/>
      <c r="L306" s="28"/>
      <c r="M306" s="29"/>
    </row>
    <row r="307" spans="1:13" x14ac:dyDescent="0.2">
      <c r="A307" s="30"/>
      <c r="B307" s="493" t="s">
        <v>109</v>
      </c>
      <c r="C307" s="494"/>
      <c r="D307" s="494"/>
      <c r="E307" s="494"/>
      <c r="F307" s="494"/>
      <c r="G307" s="494"/>
      <c r="H307" s="494"/>
      <c r="I307" s="494"/>
      <c r="J307" s="494"/>
      <c r="K307" s="494"/>
      <c r="L307" s="495"/>
      <c r="M307" s="34"/>
    </row>
    <row r="308" spans="1:13" x14ac:dyDescent="0.2">
      <c r="A308" s="30"/>
      <c r="B308" s="496"/>
      <c r="C308" s="497"/>
      <c r="D308" s="497"/>
      <c r="E308" s="497"/>
      <c r="F308" s="497"/>
      <c r="G308" s="497"/>
      <c r="H308" s="497"/>
      <c r="I308" s="497"/>
      <c r="J308" s="497"/>
      <c r="K308" s="497"/>
      <c r="L308" s="498"/>
      <c r="M308" s="34"/>
    </row>
    <row r="309" spans="1:13" x14ac:dyDescent="0.2">
      <c r="A309" s="30"/>
      <c r="B309" s="496"/>
      <c r="C309" s="497"/>
      <c r="D309" s="497"/>
      <c r="E309" s="497"/>
      <c r="F309" s="497"/>
      <c r="G309" s="497"/>
      <c r="H309" s="497"/>
      <c r="I309" s="497"/>
      <c r="J309" s="497"/>
      <c r="K309" s="497"/>
      <c r="L309" s="498"/>
      <c r="M309" s="34"/>
    </row>
    <row r="310" spans="1:13" x14ac:dyDescent="0.2">
      <c r="A310" s="30"/>
      <c r="B310" s="496"/>
      <c r="C310" s="497"/>
      <c r="D310" s="497"/>
      <c r="E310" s="497"/>
      <c r="F310" s="497"/>
      <c r="G310" s="497"/>
      <c r="H310" s="497"/>
      <c r="I310" s="497"/>
      <c r="J310" s="497"/>
      <c r="K310" s="497"/>
      <c r="L310" s="498"/>
      <c r="M310" s="34"/>
    </row>
    <row r="311" spans="1:13" ht="21" thickBot="1" x14ac:dyDescent="0.25">
      <c r="A311" s="31"/>
      <c r="B311" s="499"/>
      <c r="C311" s="500"/>
      <c r="D311" s="500"/>
      <c r="E311" s="500"/>
      <c r="F311" s="500"/>
      <c r="G311" s="500"/>
      <c r="H311" s="500"/>
      <c r="I311" s="500"/>
      <c r="J311" s="500"/>
      <c r="K311" s="500"/>
      <c r="L311" s="501"/>
      <c r="M311" s="34"/>
    </row>
    <row r="312" spans="1:13" ht="20.25" x14ac:dyDescent="0.2">
      <c r="A312" s="32"/>
      <c r="B312" s="33"/>
      <c r="C312" s="33"/>
      <c r="D312" s="33"/>
      <c r="E312" s="33"/>
      <c r="F312" s="33"/>
      <c r="G312" s="33"/>
      <c r="H312" s="33"/>
      <c r="I312" s="33"/>
      <c r="J312" s="33"/>
      <c r="K312" s="33"/>
      <c r="L312" s="33"/>
      <c r="M312" s="34"/>
    </row>
    <row r="313" spans="1:13" ht="21" thickBot="1" x14ac:dyDescent="0.25">
      <c r="A313" s="32"/>
      <c r="B313" s="33"/>
      <c r="C313" s="33"/>
      <c r="D313" s="33"/>
      <c r="E313" s="33"/>
      <c r="F313" s="33"/>
      <c r="G313" s="33"/>
      <c r="H313" s="33"/>
      <c r="I313" s="33"/>
      <c r="J313" s="33"/>
      <c r="K313" s="33"/>
      <c r="L313" s="33"/>
      <c r="M313" s="34"/>
    </row>
    <row r="314" spans="1:13" ht="21" thickBot="1" x14ac:dyDescent="0.25">
      <c r="A314" s="32"/>
      <c r="B314" s="502" t="s">
        <v>110</v>
      </c>
      <c r="C314" s="503"/>
      <c r="D314" s="503"/>
      <c r="E314" s="503"/>
      <c r="F314" s="503"/>
      <c r="G314" s="503"/>
      <c r="H314" s="503"/>
      <c r="I314" s="503"/>
      <c r="J314" s="503"/>
      <c r="K314" s="503"/>
      <c r="L314" s="504"/>
      <c r="M314" s="34"/>
    </row>
    <row r="315" spans="1:13" ht="21" thickBot="1" x14ac:dyDescent="0.25">
      <c r="A315" s="32"/>
      <c r="B315" s="63" t="s">
        <v>10</v>
      </c>
      <c r="C315" s="62" t="s">
        <v>111</v>
      </c>
      <c r="D315" s="502" t="s">
        <v>83</v>
      </c>
      <c r="E315" s="503"/>
      <c r="F315" s="503"/>
      <c r="G315" s="503"/>
      <c r="H315" s="503"/>
      <c r="I315" s="503"/>
      <c r="J315" s="503"/>
      <c r="K315" s="503"/>
      <c r="L315" s="504"/>
      <c r="M315" s="34"/>
    </row>
    <row r="316" spans="1:13" ht="20.25" x14ac:dyDescent="0.2">
      <c r="A316" s="32"/>
      <c r="B316" s="122"/>
      <c r="C316" s="123"/>
      <c r="D316" s="492"/>
      <c r="E316" s="492"/>
      <c r="F316" s="492"/>
      <c r="G316" s="492"/>
      <c r="H316" s="492"/>
      <c r="I316" s="492"/>
      <c r="J316" s="492"/>
      <c r="K316" s="492"/>
      <c r="L316" s="492"/>
      <c r="M316" s="34"/>
    </row>
    <row r="317" spans="1:13" ht="20.25" x14ac:dyDescent="0.2">
      <c r="A317" s="32"/>
      <c r="B317" s="124"/>
      <c r="C317" s="125"/>
      <c r="D317" s="490"/>
      <c r="E317" s="490"/>
      <c r="F317" s="490"/>
      <c r="G317" s="490"/>
      <c r="H317" s="490"/>
      <c r="I317" s="490"/>
      <c r="J317" s="490"/>
      <c r="K317" s="490"/>
      <c r="L317" s="490"/>
      <c r="M317" s="34"/>
    </row>
    <row r="318" spans="1:13" ht="20.25" x14ac:dyDescent="0.2">
      <c r="A318" s="32"/>
      <c r="B318" s="124"/>
      <c r="C318" s="125"/>
      <c r="D318" s="490"/>
      <c r="E318" s="490"/>
      <c r="F318" s="490"/>
      <c r="G318" s="490"/>
      <c r="H318" s="490"/>
      <c r="I318" s="490"/>
      <c r="J318" s="490"/>
      <c r="K318" s="490"/>
      <c r="L318" s="490"/>
      <c r="M318" s="34"/>
    </row>
    <row r="319" spans="1:13" ht="20.25" x14ac:dyDescent="0.2">
      <c r="A319" s="32"/>
      <c r="B319" s="124"/>
      <c r="C319" s="125"/>
      <c r="D319" s="490"/>
      <c r="E319" s="490"/>
      <c r="F319" s="490"/>
      <c r="G319" s="490"/>
      <c r="H319" s="490"/>
      <c r="I319" s="490"/>
      <c r="J319" s="490"/>
      <c r="K319" s="490"/>
      <c r="L319" s="490"/>
      <c r="M319" s="34"/>
    </row>
    <row r="320" spans="1:13" ht="20.25" x14ac:dyDescent="0.2">
      <c r="A320" s="32"/>
      <c r="B320" s="124"/>
      <c r="C320" s="125"/>
      <c r="D320" s="490"/>
      <c r="E320" s="490"/>
      <c r="F320" s="490"/>
      <c r="G320" s="490"/>
      <c r="H320" s="490"/>
      <c r="I320" s="490"/>
      <c r="J320" s="490"/>
      <c r="K320" s="490"/>
      <c r="L320" s="490"/>
      <c r="M320" s="34"/>
    </row>
    <row r="321" spans="1:13" ht="20.25" x14ac:dyDescent="0.2">
      <c r="A321" s="32"/>
      <c r="B321" s="124"/>
      <c r="C321" s="125"/>
      <c r="D321" s="490"/>
      <c r="E321" s="490"/>
      <c r="F321" s="490"/>
      <c r="G321" s="490"/>
      <c r="H321" s="490"/>
      <c r="I321" s="490"/>
      <c r="J321" s="490"/>
      <c r="K321" s="490"/>
      <c r="L321" s="490"/>
      <c r="M321" s="34"/>
    </row>
    <row r="322" spans="1:13" ht="20.25" x14ac:dyDescent="0.2">
      <c r="A322" s="32"/>
      <c r="B322" s="124"/>
      <c r="C322" s="125"/>
      <c r="D322" s="490"/>
      <c r="E322" s="490"/>
      <c r="F322" s="490"/>
      <c r="G322" s="490"/>
      <c r="H322" s="490"/>
      <c r="I322" s="490"/>
      <c r="J322" s="490"/>
      <c r="K322" s="490"/>
      <c r="L322" s="490"/>
      <c r="M322" s="34"/>
    </row>
    <row r="323" spans="1:13" ht="20.25" x14ac:dyDescent="0.2">
      <c r="A323" s="32"/>
      <c r="B323" s="124"/>
      <c r="C323" s="125"/>
      <c r="D323" s="490"/>
      <c r="E323" s="490"/>
      <c r="F323" s="490"/>
      <c r="G323" s="490"/>
      <c r="H323" s="490"/>
      <c r="I323" s="490"/>
      <c r="J323" s="490"/>
      <c r="K323" s="490"/>
      <c r="L323" s="490"/>
      <c r="M323" s="34"/>
    </row>
    <row r="324" spans="1:13" ht="20.25" x14ac:dyDescent="0.2">
      <c r="A324" s="32"/>
      <c r="B324" s="124"/>
      <c r="C324" s="125"/>
      <c r="D324" s="490"/>
      <c r="E324" s="490"/>
      <c r="F324" s="490"/>
      <c r="G324" s="490"/>
      <c r="H324" s="490"/>
      <c r="I324" s="490"/>
      <c r="J324" s="490"/>
      <c r="K324" s="490"/>
      <c r="L324" s="490"/>
      <c r="M324" s="34"/>
    </row>
    <row r="325" spans="1:13" ht="20.25" x14ac:dyDescent="0.2">
      <c r="A325" s="32"/>
      <c r="B325" s="124"/>
      <c r="C325" s="125"/>
      <c r="D325" s="490"/>
      <c r="E325" s="490"/>
      <c r="F325" s="490"/>
      <c r="G325" s="490"/>
      <c r="H325" s="490"/>
      <c r="I325" s="490"/>
      <c r="J325" s="490"/>
      <c r="K325" s="490"/>
      <c r="L325" s="490"/>
      <c r="M325" s="34"/>
    </row>
    <row r="326" spans="1:13" ht="20.25" x14ac:dyDescent="0.2">
      <c r="A326" s="32"/>
      <c r="B326" s="124"/>
      <c r="C326" s="125"/>
      <c r="D326" s="490"/>
      <c r="E326" s="490"/>
      <c r="F326" s="490"/>
      <c r="G326" s="490"/>
      <c r="H326" s="490"/>
      <c r="I326" s="490"/>
      <c r="J326" s="490"/>
      <c r="K326" s="490"/>
      <c r="L326" s="490"/>
      <c r="M326" s="34"/>
    </row>
    <row r="327" spans="1:13" ht="20.25" x14ac:dyDescent="0.2">
      <c r="A327" s="32"/>
      <c r="B327" s="124"/>
      <c r="C327" s="125"/>
      <c r="D327" s="490"/>
      <c r="E327" s="490"/>
      <c r="F327" s="490"/>
      <c r="G327" s="490"/>
      <c r="H327" s="490"/>
      <c r="I327" s="490"/>
      <c r="J327" s="490"/>
      <c r="K327" s="490"/>
      <c r="L327" s="490"/>
      <c r="M327" s="34"/>
    </row>
    <row r="328" spans="1:13" ht="20.25" x14ac:dyDescent="0.2">
      <c r="A328" s="32"/>
      <c r="B328" s="124"/>
      <c r="C328" s="125"/>
      <c r="D328" s="490"/>
      <c r="E328" s="490"/>
      <c r="F328" s="490"/>
      <c r="G328" s="490"/>
      <c r="H328" s="490"/>
      <c r="I328" s="490"/>
      <c r="J328" s="490"/>
      <c r="K328" s="490"/>
      <c r="L328" s="490"/>
      <c r="M328" s="34"/>
    </row>
    <row r="329" spans="1:13" ht="20.25" x14ac:dyDescent="0.2">
      <c r="A329" s="32"/>
      <c r="B329" s="124"/>
      <c r="C329" s="125"/>
      <c r="D329" s="490"/>
      <c r="E329" s="490"/>
      <c r="F329" s="490"/>
      <c r="G329" s="490"/>
      <c r="H329" s="490"/>
      <c r="I329" s="490"/>
      <c r="J329" s="490"/>
      <c r="K329" s="490"/>
      <c r="L329" s="490"/>
      <c r="M329" s="34"/>
    </row>
    <row r="330" spans="1:13" ht="20.25" x14ac:dyDescent="0.2">
      <c r="A330" s="32"/>
      <c r="B330" s="124"/>
      <c r="C330" s="125"/>
      <c r="D330" s="490"/>
      <c r="E330" s="490"/>
      <c r="F330" s="490"/>
      <c r="G330" s="490"/>
      <c r="H330" s="490"/>
      <c r="I330" s="490"/>
      <c r="J330" s="490"/>
      <c r="K330" s="490"/>
      <c r="L330" s="490"/>
      <c r="M330" s="34"/>
    </row>
    <row r="331" spans="1:13" ht="20.25" x14ac:dyDescent="0.2">
      <c r="A331" s="32"/>
      <c r="B331" s="124"/>
      <c r="C331" s="125"/>
      <c r="D331" s="490"/>
      <c r="E331" s="490"/>
      <c r="F331" s="490"/>
      <c r="G331" s="490"/>
      <c r="H331" s="490"/>
      <c r="I331" s="490"/>
      <c r="J331" s="490"/>
      <c r="K331" s="490"/>
      <c r="L331" s="490"/>
      <c r="M331" s="34"/>
    </row>
    <row r="332" spans="1:13" ht="20.25" x14ac:dyDescent="0.2">
      <c r="A332" s="32"/>
      <c r="B332" s="124"/>
      <c r="C332" s="125"/>
      <c r="D332" s="490"/>
      <c r="E332" s="490"/>
      <c r="F332" s="490"/>
      <c r="G332" s="490"/>
      <c r="H332" s="490"/>
      <c r="I332" s="490"/>
      <c r="J332" s="490"/>
      <c r="K332" s="490"/>
      <c r="L332" s="490"/>
      <c r="M332" s="34"/>
    </row>
    <row r="333" spans="1:13" ht="20.25" x14ac:dyDescent="0.2">
      <c r="A333" s="32"/>
      <c r="B333" s="124"/>
      <c r="C333" s="125"/>
      <c r="D333" s="490"/>
      <c r="E333" s="490"/>
      <c r="F333" s="490"/>
      <c r="G333" s="490"/>
      <c r="H333" s="490"/>
      <c r="I333" s="490"/>
      <c r="J333" s="490"/>
      <c r="K333" s="490"/>
      <c r="L333" s="490"/>
      <c r="M333" s="34"/>
    </row>
    <row r="334" spans="1:13" ht="20.25" x14ac:dyDescent="0.2">
      <c r="A334" s="32"/>
      <c r="B334" s="124"/>
      <c r="C334" s="125"/>
      <c r="D334" s="490"/>
      <c r="E334" s="490"/>
      <c r="F334" s="490"/>
      <c r="G334" s="490"/>
      <c r="H334" s="490"/>
      <c r="I334" s="490"/>
      <c r="J334" s="490"/>
      <c r="K334" s="490"/>
      <c r="L334" s="490"/>
      <c r="M334" s="34"/>
    </row>
    <row r="335" spans="1:13" ht="20.25" x14ac:dyDescent="0.2">
      <c r="A335" s="32"/>
      <c r="B335" s="124"/>
      <c r="C335" s="125"/>
      <c r="D335" s="490"/>
      <c r="E335" s="490"/>
      <c r="F335" s="490"/>
      <c r="G335" s="490"/>
      <c r="H335" s="490"/>
      <c r="I335" s="490"/>
      <c r="J335" s="490"/>
      <c r="K335" s="490"/>
      <c r="L335" s="490"/>
      <c r="M335" s="34"/>
    </row>
    <row r="336" spans="1:13" ht="20.25" x14ac:dyDescent="0.2">
      <c r="A336" s="32"/>
      <c r="B336" s="124"/>
      <c r="C336" s="125"/>
      <c r="D336" s="490"/>
      <c r="E336" s="490"/>
      <c r="F336" s="490"/>
      <c r="G336" s="490"/>
      <c r="H336" s="490"/>
      <c r="I336" s="490"/>
      <c r="J336" s="490"/>
      <c r="K336" s="490"/>
      <c r="L336" s="490"/>
      <c r="M336" s="34"/>
    </row>
    <row r="337" spans="1:13" ht="20.25" x14ac:dyDescent="0.2">
      <c r="A337" s="32"/>
      <c r="B337" s="124"/>
      <c r="C337" s="125"/>
      <c r="D337" s="490"/>
      <c r="E337" s="490"/>
      <c r="F337" s="490"/>
      <c r="G337" s="490"/>
      <c r="H337" s="490"/>
      <c r="I337" s="490"/>
      <c r="J337" s="490"/>
      <c r="K337" s="490"/>
      <c r="L337" s="490"/>
      <c r="M337" s="34"/>
    </row>
    <row r="338" spans="1:13" ht="20.25" x14ac:dyDescent="0.2">
      <c r="A338" s="32"/>
      <c r="B338" s="124"/>
      <c r="C338" s="125"/>
      <c r="D338" s="490"/>
      <c r="E338" s="490"/>
      <c r="F338" s="490"/>
      <c r="G338" s="490"/>
      <c r="H338" s="490"/>
      <c r="I338" s="490"/>
      <c r="J338" s="490"/>
      <c r="K338" s="490"/>
      <c r="L338" s="490"/>
      <c r="M338" s="34"/>
    </row>
    <row r="339" spans="1:13" ht="20.25" x14ac:dyDescent="0.2">
      <c r="A339" s="32"/>
      <c r="B339" s="124"/>
      <c r="C339" s="125"/>
      <c r="D339" s="490"/>
      <c r="E339" s="490"/>
      <c r="F339" s="490"/>
      <c r="G339" s="490"/>
      <c r="H339" s="490"/>
      <c r="I339" s="490"/>
      <c r="J339" s="490"/>
      <c r="K339" s="490"/>
      <c r="L339" s="490"/>
      <c r="M339" s="34"/>
    </row>
    <row r="340" spans="1:13" ht="20.25" x14ac:dyDescent="0.2">
      <c r="A340" s="32"/>
      <c r="B340" s="124"/>
      <c r="C340" s="125"/>
      <c r="D340" s="490"/>
      <c r="E340" s="490"/>
      <c r="F340" s="490"/>
      <c r="G340" s="490"/>
      <c r="H340" s="490"/>
      <c r="I340" s="490"/>
      <c r="J340" s="490"/>
      <c r="K340" s="490"/>
      <c r="L340" s="490"/>
      <c r="M340" s="34"/>
    </row>
    <row r="341" spans="1:13" ht="20.25" x14ac:dyDescent="0.2">
      <c r="A341" s="32"/>
      <c r="B341" s="124"/>
      <c r="C341" s="125"/>
      <c r="D341" s="490"/>
      <c r="E341" s="490"/>
      <c r="F341" s="490"/>
      <c r="G341" s="490"/>
      <c r="H341" s="490"/>
      <c r="I341" s="490"/>
      <c r="J341" s="490"/>
      <c r="K341" s="490"/>
      <c r="L341" s="490"/>
      <c r="M341" s="34"/>
    </row>
    <row r="342" spans="1:13" ht="20.25" x14ac:dyDescent="0.2">
      <c r="A342" s="32"/>
      <c r="B342" s="124"/>
      <c r="C342" s="125"/>
      <c r="D342" s="490"/>
      <c r="E342" s="490"/>
      <c r="F342" s="490"/>
      <c r="G342" s="490"/>
      <c r="H342" s="490"/>
      <c r="I342" s="490"/>
      <c r="J342" s="490"/>
      <c r="K342" s="490"/>
      <c r="L342" s="490"/>
      <c r="M342" s="34"/>
    </row>
    <row r="343" spans="1:13" ht="20.25" x14ac:dyDescent="0.2">
      <c r="A343" s="32"/>
      <c r="B343" s="124"/>
      <c r="C343" s="125"/>
      <c r="D343" s="490"/>
      <c r="E343" s="490"/>
      <c r="F343" s="490"/>
      <c r="G343" s="490"/>
      <c r="H343" s="490"/>
      <c r="I343" s="490"/>
      <c r="J343" s="490"/>
      <c r="K343" s="490"/>
      <c r="L343" s="490"/>
      <c r="M343" s="34"/>
    </row>
    <row r="344" spans="1:13" ht="20.25" x14ac:dyDescent="0.2">
      <c r="A344" s="32"/>
      <c r="B344" s="124"/>
      <c r="C344" s="125"/>
      <c r="D344" s="490"/>
      <c r="E344" s="490"/>
      <c r="F344" s="490"/>
      <c r="G344" s="490"/>
      <c r="H344" s="490"/>
      <c r="I344" s="490"/>
      <c r="J344" s="490"/>
      <c r="K344" s="490"/>
      <c r="L344" s="490"/>
      <c r="M344" s="34"/>
    </row>
    <row r="345" spans="1:13" ht="20.25" x14ac:dyDescent="0.2">
      <c r="A345" s="32"/>
      <c r="B345" s="124"/>
      <c r="C345" s="125"/>
      <c r="D345" s="490"/>
      <c r="E345" s="490"/>
      <c r="F345" s="490"/>
      <c r="G345" s="490"/>
      <c r="H345" s="490"/>
      <c r="I345" s="490"/>
      <c r="J345" s="490"/>
      <c r="K345" s="490"/>
      <c r="L345" s="490"/>
      <c r="M345" s="34"/>
    </row>
    <row r="346" spans="1:13" ht="20.25" x14ac:dyDescent="0.2">
      <c r="A346" s="32"/>
      <c r="B346" s="124"/>
      <c r="C346" s="125"/>
      <c r="D346" s="490"/>
      <c r="E346" s="490"/>
      <c r="F346" s="490"/>
      <c r="G346" s="490"/>
      <c r="H346" s="490"/>
      <c r="I346" s="490"/>
      <c r="J346" s="490"/>
      <c r="K346" s="490"/>
      <c r="L346" s="490"/>
      <c r="M346" s="34"/>
    </row>
    <row r="347" spans="1:13" ht="20.25" x14ac:dyDescent="0.2">
      <c r="A347" s="32"/>
      <c r="B347" s="124"/>
      <c r="C347" s="125"/>
      <c r="D347" s="490"/>
      <c r="E347" s="490"/>
      <c r="F347" s="490"/>
      <c r="G347" s="490"/>
      <c r="H347" s="490"/>
      <c r="I347" s="490"/>
      <c r="J347" s="490"/>
      <c r="K347" s="490"/>
      <c r="L347" s="490"/>
      <c r="M347" s="34"/>
    </row>
    <row r="348" spans="1:13" ht="20.25" x14ac:dyDescent="0.2">
      <c r="A348" s="32"/>
      <c r="B348" s="124"/>
      <c r="C348" s="125"/>
      <c r="D348" s="490"/>
      <c r="E348" s="490"/>
      <c r="F348" s="490"/>
      <c r="G348" s="490"/>
      <c r="H348" s="490"/>
      <c r="I348" s="490"/>
      <c r="J348" s="490"/>
      <c r="K348" s="490"/>
      <c r="L348" s="490"/>
      <c r="M348" s="34"/>
    </row>
    <row r="349" spans="1:13" ht="20.25" x14ac:dyDescent="0.2">
      <c r="A349" s="32"/>
      <c r="B349" s="124"/>
      <c r="C349" s="125"/>
      <c r="D349" s="490"/>
      <c r="E349" s="490"/>
      <c r="F349" s="490"/>
      <c r="G349" s="490"/>
      <c r="H349" s="490"/>
      <c r="I349" s="490"/>
      <c r="J349" s="490"/>
      <c r="K349" s="490"/>
      <c r="L349" s="490"/>
      <c r="M349" s="34"/>
    </row>
    <row r="350" spans="1:13" ht="20.25" x14ac:dyDescent="0.2">
      <c r="A350" s="32"/>
      <c r="B350" s="124"/>
      <c r="C350" s="125"/>
      <c r="D350" s="490"/>
      <c r="E350" s="490"/>
      <c r="F350" s="490"/>
      <c r="G350" s="490"/>
      <c r="H350" s="490"/>
      <c r="I350" s="490"/>
      <c r="J350" s="490"/>
      <c r="K350" s="490"/>
      <c r="L350" s="490"/>
      <c r="M350" s="34"/>
    </row>
    <row r="351" spans="1:13" ht="20.25" x14ac:dyDescent="0.2">
      <c r="A351" s="32"/>
      <c r="B351" s="124"/>
      <c r="C351" s="125"/>
      <c r="D351" s="490"/>
      <c r="E351" s="490"/>
      <c r="F351" s="490"/>
      <c r="G351" s="490"/>
      <c r="H351" s="490"/>
      <c r="I351" s="490"/>
      <c r="J351" s="490"/>
      <c r="K351" s="490"/>
      <c r="L351" s="490"/>
      <c r="M351" s="34"/>
    </row>
    <row r="352" spans="1:13" ht="20.25" x14ac:dyDescent="0.2">
      <c r="A352" s="32"/>
      <c r="B352" s="124"/>
      <c r="C352" s="125"/>
      <c r="D352" s="490"/>
      <c r="E352" s="490"/>
      <c r="F352" s="490"/>
      <c r="G352" s="490"/>
      <c r="H352" s="490"/>
      <c r="I352" s="490"/>
      <c r="J352" s="490"/>
      <c r="K352" s="490"/>
      <c r="L352" s="490"/>
      <c r="M352" s="34"/>
    </row>
    <row r="353" spans="1:13" ht="20.25" x14ac:dyDescent="0.2">
      <c r="A353" s="32"/>
      <c r="B353" s="124"/>
      <c r="C353" s="125"/>
      <c r="D353" s="490"/>
      <c r="E353" s="490"/>
      <c r="F353" s="490"/>
      <c r="G353" s="490"/>
      <c r="H353" s="490"/>
      <c r="I353" s="490"/>
      <c r="J353" s="490"/>
      <c r="K353" s="490"/>
      <c r="L353" s="490"/>
      <c r="M353" s="34"/>
    </row>
    <row r="354" spans="1:13" ht="20.25" x14ac:dyDescent="0.2">
      <c r="A354" s="32"/>
      <c r="B354" s="124"/>
      <c r="C354" s="125"/>
      <c r="D354" s="490"/>
      <c r="E354" s="490"/>
      <c r="F354" s="490"/>
      <c r="G354" s="490"/>
      <c r="H354" s="490"/>
      <c r="I354" s="490"/>
      <c r="J354" s="490"/>
      <c r="K354" s="490"/>
      <c r="L354" s="490"/>
      <c r="M354" s="34"/>
    </row>
    <row r="355" spans="1:13" ht="20.25" x14ac:dyDescent="0.2">
      <c r="A355" s="32"/>
      <c r="B355" s="124"/>
      <c r="C355" s="125"/>
      <c r="D355" s="490"/>
      <c r="E355" s="490"/>
      <c r="F355" s="490"/>
      <c r="G355" s="490"/>
      <c r="H355" s="490"/>
      <c r="I355" s="490"/>
      <c r="J355" s="490"/>
      <c r="K355" s="490"/>
      <c r="L355" s="490"/>
      <c r="M355" s="34"/>
    </row>
    <row r="356" spans="1:13" ht="20.25" x14ac:dyDescent="0.2">
      <c r="A356" s="32"/>
      <c r="B356" s="124"/>
      <c r="C356" s="125"/>
      <c r="D356" s="490"/>
      <c r="E356" s="490"/>
      <c r="F356" s="490"/>
      <c r="G356" s="490"/>
      <c r="H356" s="490"/>
      <c r="I356" s="490"/>
      <c r="J356" s="490"/>
      <c r="K356" s="490"/>
      <c r="L356" s="490"/>
      <c r="M356" s="34"/>
    </row>
    <row r="357" spans="1:13" ht="20.25" x14ac:dyDescent="0.2">
      <c r="A357" s="32"/>
      <c r="B357" s="124"/>
      <c r="C357" s="125"/>
      <c r="D357" s="490"/>
      <c r="E357" s="490"/>
      <c r="F357" s="490"/>
      <c r="G357" s="490"/>
      <c r="H357" s="490"/>
      <c r="I357" s="490"/>
      <c r="J357" s="490"/>
      <c r="K357" s="490"/>
      <c r="L357" s="490"/>
      <c r="M357" s="34"/>
    </row>
    <row r="358" spans="1:13" ht="20.25" x14ac:dyDescent="0.2">
      <c r="A358" s="32"/>
      <c r="B358" s="124"/>
      <c r="C358" s="125"/>
      <c r="D358" s="490"/>
      <c r="E358" s="490"/>
      <c r="F358" s="490"/>
      <c r="G358" s="490"/>
      <c r="H358" s="490"/>
      <c r="I358" s="490"/>
      <c r="J358" s="490"/>
      <c r="K358" s="490"/>
      <c r="L358" s="490"/>
      <c r="M358" s="34"/>
    </row>
    <row r="359" spans="1:13" ht="20.25" x14ac:dyDescent="0.2">
      <c r="A359" s="32"/>
      <c r="B359" s="124"/>
      <c r="C359" s="125"/>
      <c r="D359" s="490"/>
      <c r="E359" s="490"/>
      <c r="F359" s="490"/>
      <c r="G359" s="490"/>
      <c r="H359" s="490"/>
      <c r="I359" s="490"/>
      <c r="J359" s="490"/>
      <c r="K359" s="490"/>
      <c r="L359" s="490"/>
      <c r="M359" s="34"/>
    </row>
    <row r="360" spans="1:13" ht="20.25" x14ac:dyDescent="0.2">
      <c r="A360" s="32"/>
      <c r="B360" s="124"/>
      <c r="C360" s="125"/>
      <c r="D360" s="490"/>
      <c r="E360" s="490"/>
      <c r="F360" s="490"/>
      <c r="G360" s="490"/>
      <c r="H360" s="490"/>
      <c r="I360" s="490"/>
      <c r="J360" s="490"/>
      <c r="K360" s="490"/>
      <c r="L360" s="490"/>
      <c r="M360" s="34"/>
    </row>
    <row r="361" spans="1:13" ht="20.25" x14ac:dyDescent="0.2">
      <c r="A361" s="32"/>
      <c r="B361" s="124"/>
      <c r="C361" s="125"/>
      <c r="D361" s="490"/>
      <c r="E361" s="490"/>
      <c r="F361" s="490"/>
      <c r="G361" s="490"/>
      <c r="H361" s="490"/>
      <c r="I361" s="490"/>
      <c r="J361" s="490"/>
      <c r="K361" s="490"/>
      <c r="L361" s="490"/>
      <c r="M361" s="34"/>
    </row>
    <row r="362" spans="1:13" ht="20.25" x14ac:dyDescent="0.2">
      <c r="A362" s="32"/>
      <c r="B362" s="124"/>
      <c r="C362" s="125"/>
      <c r="D362" s="490"/>
      <c r="E362" s="490"/>
      <c r="F362" s="490"/>
      <c r="G362" s="490"/>
      <c r="H362" s="490"/>
      <c r="I362" s="490"/>
      <c r="J362" s="490"/>
      <c r="K362" s="490"/>
      <c r="L362" s="490"/>
      <c r="M362" s="34"/>
    </row>
    <row r="363" spans="1:13" ht="20.25" x14ac:dyDescent="0.2">
      <c r="A363" s="32"/>
      <c r="B363" s="124"/>
      <c r="C363" s="125"/>
      <c r="D363" s="490"/>
      <c r="E363" s="490"/>
      <c r="F363" s="490"/>
      <c r="G363" s="490"/>
      <c r="H363" s="490"/>
      <c r="I363" s="490"/>
      <c r="J363" s="490"/>
      <c r="K363" s="490"/>
      <c r="L363" s="490"/>
      <c r="M363" s="34"/>
    </row>
    <row r="364" spans="1:13" ht="20.25" x14ac:dyDescent="0.2">
      <c r="A364" s="32"/>
      <c r="B364" s="124"/>
      <c r="C364" s="125"/>
      <c r="D364" s="490"/>
      <c r="E364" s="490"/>
      <c r="F364" s="490"/>
      <c r="G364" s="490"/>
      <c r="H364" s="490"/>
      <c r="I364" s="490"/>
      <c r="J364" s="490"/>
      <c r="K364" s="490"/>
      <c r="L364" s="490"/>
      <c r="M364" s="34"/>
    </row>
    <row r="365" spans="1:13" ht="21" thickBot="1" x14ac:dyDescent="0.25">
      <c r="A365" s="32"/>
      <c r="B365" s="126"/>
      <c r="C365" s="127"/>
      <c r="D365" s="491"/>
      <c r="E365" s="491"/>
      <c r="F365" s="491"/>
      <c r="G365" s="491"/>
      <c r="H365" s="491"/>
      <c r="I365" s="491"/>
      <c r="J365" s="491"/>
      <c r="K365" s="491"/>
      <c r="L365" s="491"/>
      <c r="M365" s="34"/>
    </row>
    <row r="366" spans="1:13" ht="21" thickBot="1" x14ac:dyDescent="0.25">
      <c r="A366" s="32"/>
      <c r="B366" s="33"/>
      <c r="C366" s="33"/>
      <c r="D366" s="33"/>
      <c r="E366" s="33"/>
      <c r="F366" s="33"/>
      <c r="G366" s="33"/>
      <c r="H366" s="33"/>
      <c r="I366" s="33"/>
      <c r="J366" s="33"/>
      <c r="K366" s="33"/>
      <c r="L366" s="33"/>
      <c r="M366" s="34"/>
    </row>
    <row r="367" spans="1:13" ht="24.75" thickTop="1" thickBot="1" x14ac:dyDescent="0.25">
      <c r="A367" s="24"/>
      <c r="B367" s="25"/>
      <c r="C367" s="25"/>
      <c r="D367" s="25"/>
      <c r="E367" s="26"/>
      <c r="F367" s="27"/>
      <c r="G367" s="27"/>
      <c r="H367" s="27"/>
      <c r="I367" s="27"/>
      <c r="J367" s="25"/>
      <c r="K367" s="25"/>
      <c r="L367" s="28"/>
      <c r="M367" s="29"/>
    </row>
    <row r="368" spans="1:13" x14ac:dyDescent="0.2">
      <c r="A368" s="30"/>
      <c r="B368" s="493" t="s">
        <v>109</v>
      </c>
      <c r="C368" s="494"/>
      <c r="D368" s="494"/>
      <c r="E368" s="494"/>
      <c r="F368" s="494"/>
      <c r="G368" s="494"/>
      <c r="H368" s="494"/>
      <c r="I368" s="494"/>
      <c r="J368" s="494"/>
      <c r="K368" s="494"/>
      <c r="L368" s="495"/>
      <c r="M368" s="34"/>
    </row>
    <row r="369" spans="1:13" x14ac:dyDescent="0.2">
      <c r="A369" s="30"/>
      <c r="B369" s="496"/>
      <c r="C369" s="497"/>
      <c r="D369" s="497"/>
      <c r="E369" s="497"/>
      <c r="F369" s="497"/>
      <c r="G369" s="497"/>
      <c r="H369" s="497"/>
      <c r="I369" s="497"/>
      <c r="J369" s="497"/>
      <c r="K369" s="497"/>
      <c r="L369" s="498"/>
      <c r="M369" s="34"/>
    </row>
    <row r="370" spans="1:13" x14ac:dyDescent="0.2">
      <c r="A370" s="30"/>
      <c r="B370" s="496"/>
      <c r="C370" s="497"/>
      <c r="D370" s="497"/>
      <c r="E370" s="497"/>
      <c r="F370" s="497"/>
      <c r="G370" s="497"/>
      <c r="H370" s="497"/>
      <c r="I370" s="497"/>
      <c r="J370" s="497"/>
      <c r="K370" s="497"/>
      <c r="L370" s="498"/>
      <c r="M370" s="34"/>
    </row>
    <row r="371" spans="1:13" x14ac:dyDescent="0.2">
      <c r="A371" s="30"/>
      <c r="B371" s="496"/>
      <c r="C371" s="497"/>
      <c r="D371" s="497"/>
      <c r="E371" s="497"/>
      <c r="F371" s="497"/>
      <c r="G371" s="497"/>
      <c r="H371" s="497"/>
      <c r="I371" s="497"/>
      <c r="J371" s="497"/>
      <c r="K371" s="497"/>
      <c r="L371" s="498"/>
      <c r="M371" s="34"/>
    </row>
    <row r="372" spans="1:13" ht="21" thickBot="1" x14ac:dyDescent="0.25">
      <c r="A372" s="31"/>
      <c r="B372" s="499"/>
      <c r="C372" s="500"/>
      <c r="D372" s="500"/>
      <c r="E372" s="500"/>
      <c r="F372" s="500"/>
      <c r="G372" s="500"/>
      <c r="H372" s="500"/>
      <c r="I372" s="500"/>
      <c r="J372" s="500"/>
      <c r="K372" s="500"/>
      <c r="L372" s="501"/>
      <c r="M372" s="34"/>
    </row>
    <row r="373" spans="1:13" ht="20.25" x14ac:dyDescent="0.2">
      <c r="A373" s="32"/>
      <c r="B373" s="33"/>
      <c r="C373" s="33"/>
      <c r="D373" s="33"/>
      <c r="E373" s="33"/>
      <c r="F373" s="33"/>
      <c r="G373" s="33"/>
      <c r="H373" s="33"/>
      <c r="I373" s="33"/>
      <c r="J373" s="33"/>
      <c r="K373" s="33"/>
      <c r="L373" s="33"/>
      <c r="M373" s="34"/>
    </row>
    <row r="374" spans="1:13" ht="21" thickBot="1" x14ac:dyDescent="0.25">
      <c r="A374" s="32"/>
      <c r="B374" s="33"/>
      <c r="C374" s="33"/>
      <c r="D374" s="33"/>
      <c r="E374" s="33"/>
      <c r="F374" s="33"/>
      <c r="G374" s="33"/>
      <c r="H374" s="33"/>
      <c r="I374" s="33"/>
      <c r="J374" s="33"/>
      <c r="K374" s="33"/>
      <c r="L374" s="33"/>
      <c r="M374" s="34"/>
    </row>
    <row r="375" spans="1:13" ht="21" thickBot="1" x14ac:dyDescent="0.25">
      <c r="A375" s="32"/>
      <c r="B375" s="502" t="s">
        <v>110</v>
      </c>
      <c r="C375" s="503"/>
      <c r="D375" s="503"/>
      <c r="E375" s="503"/>
      <c r="F375" s="503"/>
      <c r="G375" s="503"/>
      <c r="H375" s="503"/>
      <c r="I375" s="503"/>
      <c r="J375" s="503"/>
      <c r="K375" s="503"/>
      <c r="L375" s="504"/>
      <c r="M375" s="34"/>
    </row>
    <row r="376" spans="1:13" ht="21" thickBot="1" x14ac:dyDescent="0.25">
      <c r="A376" s="32"/>
      <c r="B376" s="63" t="s">
        <v>10</v>
      </c>
      <c r="C376" s="62" t="s">
        <v>111</v>
      </c>
      <c r="D376" s="502" t="s">
        <v>83</v>
      </c>
      <c r="E376" s="503"/>
      <c r="F376" s="503"/>
      <c r="G376" s="503"/>
      <c r="H376" s="503"/>
      <c r="I376" s="503"/>
      <c r="J376" s="503"/>
      <c r="K376" s="503"/>
      <c r="L376" s="504"/>
      <c r="M376" s="34"/>
    </row>
    <row r="377" spans="1:13" ht="20.25" x14ac:dyDescent="0.2">
      <c r="A377" s="32"/>
      <c r="B377" s="122"/>
      <c r="C377" s="123"/>
      <c r="D377" s="492"/>
      <c r="E377" s="492"/>
      <c r="F377" s="492"/>
      <c r="G377" s="492"/>
      <c r="H377" s="492"/>
      <c r="I377" s="492"/>
      <c r="J377" s="492"/>
      <c r="K377" s="492"/>
      <c r="L377" s="492"/>
      <c r="M377" s="34"/>
    </row>
    <row r="378" spans="1:13" ht="20.25" x14ac:dyDescent="0.2">
      <c r="A378" s="32"/>
      <c r="B378" s="124"/>
      <c r="C378" s="125"/>
      <c r="D378" s="490"/>
      <c r="E378" s="490"/>
      <c r="F378" s="490"/>
      <c r="G378" s="490"/>
      <c r="H378" s="490"/>
      <c r="I378" s="490"/>
      <c r="J378" s="490"/>
      <c r="K378" s="490"/>
      <c r="L378" s="490"/>
      <c r="M378" s="34"/>
    </row>
    <row r="379" spans="1:13" ht="20.25" x14ac:dyDescent="0.2">
      <c r="A379" s="32"/>
      <c r="B379" s="124"/>
      <c r="C379" s="125"/>
      <c r="D379" s="490"/>
      <c r="E379" s="490"/>
      <c r="F379" s="490"/>
      <c r="G379" s="490"/>
      <c r="H379" s="490"/>
      <c r="I379" s="490"/>
      <c r="J379" s="490"/>
      <c r="K379" s="490"/>
      <c r="L379" s="490"/>
      <c r="M379" s="34"/>
    </row>
    <row r="380" spans="1:13" ht="20.25" x14ac:dyDescent="0.2">
      <c r="A380" s="32"/>
      <c r="B380" s="124"/>
      <c r="C380" s="125"/>
      <c r="D380" s="490"/>
      <c r="E380" s="490"/>
      <c r="F380" s="490"/>
      <c r="G380" s="490"/>
      <c r="H380" s="490"/>
      <c r="I380" s="490"/>
      <c r="J380" s="490"/>
      <c r="K380" s="490"/>
      <c r="L380" s="490"/>
      <c r="M380" s="34"/>
    </row>
    <row r="381" spans="1:13" ht="20.25" x14ac:dyDescent="0.2">
      <c r="A381" s="32"/>
      <c r="B381" s="124"/>
      <c r="C381" s="125"/>
      <c r="D381" s="490"/>
      <c r="E381" s="490"/>
      <c r="F381" s="490"/>
      <c r="G381" s="490"/>
      <c r="H381" s="490"/>
      <c r="I381" s="490"/>
      <c r="J381" s="490"/>
      <c r="K381" s="490"/>
      <c r="L381" s="490"/>
      <c r="M381" s="34"/>
    </row>
    <row r="382" spans="1:13" ht="20.25" x14ac:dyDescent="0.2">
      <c r="A382" s="32"/>
      <c r="B382" s="124"/>
      <c r="C382" s="125"/>
      <c r="D382" s="490"/>
      <c r="E382" s="490"/>
      <c r="F382" s="490"/>
      <c r="G382" s="490"/>
      <c r="H382" s="490"/>
      <c r="I382" s="490"/>
      <c r="J382" s="490"/>
      <c r="K382" s="490"/>
      <c r="L382" s="490"/>
      <c r="M382" s="34"/>
    </row>
    <row r="383" spans="1:13" ht="20.25" x14ac:dyDescent="0.2">
      <c r="A383" s="32"/>
      <c r="B383" s="124"/>
      <c r="C383" s="125"/>
      <c r="D383" s="490"/>
      <c r="E383" s="490"/>
      <c r="F383" s="490"/>
      <c r="G383" s="490"/>
      <c r="H383" s="490"/>
      <c r="I383" s="490"/>
      <c r="J383" s="490"/>
      <c r="K383" s="490"/>
      <c r="L383" s="490"/>
      <c r="M383" s="34"/>
    </row>
    <row r="384" spans="1:13" ht="20.25" x14ac:dyDescent="0.2">
      <c r="A384" s="32"/>
      <c r="B384" s="124"/>
      <c r="C384" s="125"/>
      <c r="D384" s="490"/>
      <c r="E384" s="490"/>
      <c r="F384" s="490"/>
      <c r="G384" s="490"/>
      <c r="H384" s="490"/>
      <c r="I384" s="490"/>
      <c r="J384" s="490"/>
      <c r="K384" s="490"/>
      <c r="L384" s="490"/>
      <c r="M384" s="34"/>
    </row>
    <row r="385" spans="1:13" ht="20.25" x14ac:dyDescent="0.2">
      <c r="A385" s="32"/>
      <c r="B385" s="124"/>
      <c r="C385" s="125"/>
      <c r="D385" s="490"/>
      <c r="E385" s="490"/>
      <c r="F385" s="490"/>
      <c r="G385" s="490"/>
      <c r="H385" s="490"/>
      <c r="I385" s="490"/>
      <c r="J385" s="490"/>
      <c r="K385" s="490"/>
      <c r="L385" s="490"/>
      <c r="M385" s="34"/>
    </row>
    <row r="386" spans="1:13" ht="20.25" x14ac:dyDescent="0.2">
      <c r="A386" s="32"/>
      <c r="B386" s="124"/>
      <c r="C386" s="125"/>
      <c r="D386" s="490"/>
      <c r="E386" s="490"/>
      <c r="F386" s="490"/>
      <c r="G386" s="490"/>
      <c r="H386" s="490"/>
      <c r="I386" s="490"/>
      <c r="J386" s="490"/>
      <c r="K386" s="490"/>
      <c r="L386" s="490"/>
      <c r="M386" s="34"/>
    </row>
    <row r="387" spans="1:13" ht="20.25" x14ac:dyDescent="0.2">
      <c r="A387" s="32"/>
      <c r="B387" s="124"/>
      <c r="C387" s="125"/>
      <c r="D387" s="490"/>
      <c r="E387" s="490"/>
      <c r="F387" s="490"/>
      <c r="G387" s="490"/>
      <c r="H387" s="490"/>
      <c r="I387" s="490"/>
      <c r="J387" s="490"/>
      <c r="K387" s="490"/>
      <c r="L387" s="490"/>
      <c r="M387" s="34"/>
    </row>
    <row r="388" spans="1:13" ht="20.25" x14ac:dyDescent="0.2">
      <c r="A388" s="32"/>
      <c r="B388" s="124"/>
      <c r="C388" s="125"/>
      <c r="D388" s="490"/>
      <c r="E388" s="490"/>
      <c r="F388" s="490"/>
      <c r="G388" s="490"/>
      <c r="H388" s="490"/>
      <c r="I388" s="490"/>
      <c r="J388" s="490"/>
      <c r="K388" s="490"/>
      <c r="L388" s="490"/>
      <c r="M388" s="34"/>
    </row>
    <row r="389" spans="1:13" ht="20.25" x14ac:dyDescent="0.2">
      <c r="A389" s="32"/>
      <c r="B389" s="124"/>
      <c r="C389" s="125"/>
      <c r="D389" s="490"/>
      <c r="E389" s="490"/>
      <c r="F389" s="490"/>
      <c r="G389" s="490"/>
      <c r="H389" s="490"/>
      <c r="I389" s="490"/>
      <c r="J389" s="490"/>
      <c r="K389" s="490"/>
      <c r="L389" s="490"/>
      <c r="M389" s="34"/>
    </row>
    <row r="390" spans="1:13" ht="20.25" x14ac:dyDescent="0.2">
      <c r="A390" s="32"/>
      <c r="B390" s="124"/>
      <c r="C390" s="125"/>
      <c r="D390" s="490"/>
      <c r="E390" s="490"/>
      <c r="F390" s="490"/>
      <c r="G390" s="490"/>
      <c r="H390" s="490"/>
      <c r="I390" s="490"/>
      <c r="J390" s="490"/>
      <c r="K390" s="490"/>
      <c r="L390" s="490"/>
      <c r="M390" s="34"/>
    </row>
    <row r="391" spans="1:13" ht="20.25" x14ac:dyDescent="0.2">
      <c r="A391" s="32"/>
      <c r="B391" s="124"/>
      <c r="C391" s="125"/>
      <c r="D391" s="490"/>
      <c r="E391" s="490"/>
      <c r="F391" s="490"/>
      <c r="G391" s="490"/>
      <c r="H391" s="490"/>
      <c r="I391" s="490"/>
      <c r="J391" s="490"/>
      <c r="K391" s="490"/>
      <c r="L391" s="490"/>
      <c r="M391" s="34"/>
    </row>
    <row r="392" spans="1:13" ht="20.25" x14ac:dyDescent="0.2">
      <c r="A392" s="32"/>
      <c r="B392" s="124"/>
      <c r="C392" s="125"/>
      <c r="D392" s="490"/>
      <c r="E392" s="490"/>
      <c r="F392" s="490"/>
      <c r="G392" s="490"/>
      <c r="H392" s="490"/>
      <c r="I392" s="490"/>
      <c r="J392" s="490"/>
      <c r="K392" s="490"/>
      <c r="L392" s="490"/>
      <c r="M392" s="34"/>
    </row>
    <row r="393" spans="1:13" ht="20.25" x14ac:dyDescent="0.2">
      <c r="A393" s="32"/>
      <c r="B393" s="124"/>
      <c r="C393" s="125"/>
      <c r="D393" s="490"/>
      <c r="E393" s="490"/>
      <c r="F393" s="490"/>
      <c r="G393" s="490"/>
      <c r="H393" s="490"/>
      <c r="I393" s="490"/>
      <c r="J393" s="490"/>
      <c r="K393" s="490"/>
      <c r="L393" s="490"/>
      <c r="M393" s="34"/>
    </row>
    <row r="394" spans="1:13" ht="20.25" x14ac:dyDescent="0.2">
      <c r="A394" s="32"/>
      <c r="B394" s="124"/>
      <c r="C394" s="125"/>
      <c r="D394" s="490"/>
      <c r="E394" s="490"/>
      <c r="F394" s="490"/>
      <c r="G394" s="490"/>
      <c r="H394" s="490"/>
      <c r="I394" s="490"/>
      <c r="J394" s="490"/>
      <c r="K394" s="490"/>
      <c r="L394" s="490"/>
      <c r="M394" s="34"/>
    </row>
    <row r="395" spans="1:13" ht="20.25" x14ac:dyDescent="0.2">
      <c r="A395" s="32"/>
      <c r="B395" s="124"/>
      <c r="C395" s="125"/>
      <c r="D395" s="490"/>
      <c r="E395" s="490"/>
      <c r="F395" s="490"/>
      <c r="G395" s="490"/>
      <c r="H395" s="490"/>
      <c r="I395" s="490"/>
      <c r="J395" s="490"/>
      <c r="K395" s="490"/>
      <c r="L395" s="490"/>
      <c r="M395" s="34"/>
    </row>
    <row r="396" spans="1:13" ht="20.25" x14ac:dyDescent="0.2">
      <c r="A396" s="32"/>
      <c r="B396" s="124"/>
      <c r="C396" s="125"/>
      <c r="D396" s="490"/>
      <c r="E396" s="490"/>
      <c r="F396" s="490"/>
      <c r="G396" s="490"/>
      <c r="H396" s="490"/>
      <c r="I396" s="490"/>
      <c r="J396" s="490"/>
      <c r="K396" s="490"/>
      <c r="L396" s="490"/>
      <c r="M396" s="34"/>
    </row>
    <row r="397" spans="1:13" ht="20.25" x14ac:dyDescent="0.2">
      <c r="A397" s="32"/>
      <c r="B397" s="124"/>
      <c r="C397" s="125"/>
      <c r="D397" s="490"/>
      <c r="E397" s="490"/>
      <c r="F397" s="490"/>
      <c r="G397" s="490"/>
      <c r="H397" s="490"/>
      <c r="I397" s="490"/>
      <c r="J397" s="490"/>
      <c r="K397" s="490"/>
      <c r="L397" s="490"/>
      <c r="M397" s="34"/>
    </row>
    <row r="398" spans="1:13" ht="20.25" x14ac:dyDescent="0.2">
      <c r="A398" s="32"/>
      <c r="B398" s="124"/>
      <c r="C398" s="125"/>
      <c r="D398" s="490"/>
      <c r="E398" s="490"/>
      <c r="F398" s="490"/>
      <c r="G398" s="490"/>
      <c r="H398" s="490"/>
      <c r="I398" s="490"/>
      <c r="J398" s="490"/>
      <c r="K398" s="490"/>
      <c r="L398" s="490"/>
      <c r="M398" s="34"/>
    </row>
    <row r="399" spans="1:13" ht="20.25" x14ac:dyDescent="0.2">
      <c r="A399" s="32"/>
      <c r="B399" s="124"/>
      <c r="C399" s="125"/>
      <c r="D399" s="490"/>
      <c r="E399" s="490"/>
      <c r="F399" s="490"/>
      <c r="G399" s="490"/>
      <c r="H399" s="490"/>
      <c r="I399" s="490"/>
      <c r="J399" s="490"/>
      <c r="K399" s="490"/>
      <c r="L399" s="490"/>
      <c r="M399" s="34"/>
    </row>
    <row r="400" spans="1:13" ht="20.25" x14ac:dyDescent="0.2">
      <c r="A400" s="32"/>
      <c r="B400" s="124"/>
      <c r="C400" s="125"/>
      <c r="D400" s="490"/>
      <c r="E400" s="490"/>
      <c r="F400" s="490"/>
      <c r="G400" s="490"/>
      <c r="H400" s="490"/>
      <c r="I400" s="490"/>
      <c r="J400" s="490"/>
      <c r="K400" s="490"/>
      <c r="L400" s="490"/>
      <c r="M400" s="34"/>
    </row>
    <row r="401" spans="1:13" ht="20.25" x14ac:dyDescent="0.2">
      <c r="A401" s="32"/>
      <c r="B401" s="124"/>
      <c r="C401" s="125"/>
      <c r="D401" s="490"/>
      <c r="E401" s="490"/>
      <c r="F401" s="490"/>
      <c r="G401" s="490"/>
      <c r="H401" s="490"/>
      <c r="I401" s="490"/>
      <c r="J401" s="490"/>
      <c r="K401" s="490"/>
      <c r="L401" s="490"/>
      <c r="M401" s="34"/>
    </row>
    <row r="402" spans="1:13" ht="20.25" x14ac:dyDescent="0.2">
      <c r="A402" s="32"/>
      <c r="B402" s="124"/>
      <c r="C402" s="125"/>
      <c r="D402" s="490"/>
      <c r="E402" s="490"/>
      <c r="F402" s="490"/>
      <c r="G402" s="490"/>
      <c r="H402" s="490"/>
      <c r="I402" s="490"/>
      <c r="J402" s="490"/>
      <c r="K402" s="490"/>
      <c r="L402" s="490"/>
      <c r="M402" s="34"/>
    </row>
    <row r="403" spans="1:13" ht="20.25" x14ac:dyDescent="0.2">
      <c r="A403" s="32"/>
      <c r="B403" s="124"/>
      <c r="C403" s="125"/>
      <c r="D403" s="490"/>
      <c r="E403" s="490"/>
      <c r="F403" s="490"/>
      <c r="G403" s="490"/>
      <c r="H403" s="490"/>
      <c r="I403" s="490"/>
      <c r="J403" s="490"/>
      <c r="K403" s="490"/>
      <c r="L403" s="490"/>
      <c r="M403" s="34"/>
    </row>
    <row r="404" spans="1:13" ht="20.25" x14ac:dyDescent="0.2">
      <c r="A404" s="32"/>
      <c r="B404" s="124"/>
      <c r="C404" s="125"/>
      <c r="D404" s="490"/>
      <c r="E404" s="490"/>
      <c r="F404" s="490"/>
      <c r="G404" s="490"/>
      <c r="H404" s="490"/>
      <c r="I404" s="490"/>
      <c r="J404" s="490"/>
      <c r="K404" s="490"/>
      <c r="L404" s="490"/>
      <c r="M404" s="34"/>
    </row>
    <row r="405" spans="1:13" ht="20.25" x14ac:dyDescent="0.2">
      <c r="A405" s="32"/>
      <c r="B405" s="124"/>
      <c r="C405" s="125"/>
      <c r="D405" s="490"/>
      <c r="E405" s="490"/>
      <c r="F405" s="490"/>
      <c r="G405" s="490"/>
      <c r="H405" s="490"/>
      <c r="I405" s="490"/>
      <c r="J405" s="490"/>
      <c r="K405" s="490"/>
      <c r="L405" s="490"/>
      <c r="M405" s="34"/>
    </row>
    <row r="406" spans="1:13" ht="20.25" x14ac:dyDescent="0.2">
      <c r="A406" s="32"/>
      <c r="B406" s="124"/>
      <c r="C406" s="125"/>
      <c r="D406" s="490"/>
      <c r="E406" s="490"/>
      <c r="F406" s="490"/>
      <c r="G406" s="490"/>
      <c r="H406" s="490"/>
      <c r="I406" s="490"/>
      <c r="J406" s="490"/>
      <c r="K406" s="490"/>
      <c r="L406" s="490"/>
      <c r="M406" s="34"/>
    </row>
    <row r="407" spans="1:13" ht="20.25" x14ac:dyDescent="0.2">
      <c r="A407" s="32"/>
      <c r="B407" s="124"/>
      <c r="C407" s="125"/>
      <c r="D407" s="490"/>
      <c r="E407" s="490"/>
      <c r="F407" s="490"/>
      <c r="G407" s="490"/>
      <c r="H407" s="490"/>
      <c r="I407" s="490"/>
      <c r="J407" s="490"/>
      <c r="K407" s="490"/>
      <c r="L407" s="490"/>
      <c r="M407" s="34"/>
    </row>
    <row r="408" spans="1:13" ht="20.25" x14ac:dyDescent="0.2">
      <c r="A408" s="32"/>
      <c r="B408" s="124"/>
      <c r="C408" s="125"/>
      <c r="D408" s="490"/>
      <c r="E408" s="490"/>
      <c r="F408" s="490"/>
      <c r="G408" s="490"/>
      <c r="H408" s="490"/>
      <c r="I408" s="490"/>
      <c r="J408" s="490"/>
      <c r="K408" s="490"/>
      <c r="L408" s="490"/>
      <c r="M408" s="34"/>
    </row>
    <row r="409" spans="1:13" ht="20.25" x14ac:dyDescent="0.2">
      <c r="A409" s="32"/>
      <c r="B409" s="124"/>
      <c r="C409" s="125"/>
      <c r="D409" s="490"/>
      <c r="E409" s="490"/>
      <c r="F409" s="490"/>
      <c r="G409" s="490"/>
      <c r="H409" s="490"/>
      <c r="I409" s="490"/>
      <c r="J409" s="490"/>
      <c r="K409" s="490"/>
      <c r="L409" s="490"/>
      <c r="M409" s="34"/>
    </row>
    <row r="410" spans="1:13" ht="20.25" x14ac:dyDescent="0.2">
      <c r="A410" s="32"/>
      <c r="B410" s="124"/>
      <c r="C410" s="125"/>
      <c r="D410" s="490"/>
      <c r="E410" s="490"/>
      <c r="F410" s="490"/>
      <c r="G410" s="490"/>
      <c r="H410" s="490"/>
      <c r="I410" s="490"/>
      <c r="J410" s="490"/>
      <c r="K410" s="490"/>
      <c r="L410" s="490"/>
      <c r="M410" s="34"/>
    </row>
    <row r="411" spans="1:13" ht="20.25" x14ac:dyDescent="0.2">
      <c r="A411" s="32"/>
      <c r="B411" s="124"/>
      <c r="C411" s="125"/>
      <c r="D411" s="490"/>
      <c r="E411" s="490"/>
      <c r="F411" s="490"/>
      <c r="G411" s="490"/>
      <c r="H411" s="490"/>
      <c r="I411" s="490"/>
      <c r="J411" s="490"/>
      <c r="K411" s="490"/>
      <c r="L411" s="490"/>
      <c r="M411" s="34"/>
    </row>
    <row r="412" spans="1:13" ht="20.25" x14ac:dyDescent="0.2">
      <c r="A412" s="32"/>
      <c r="B412" s="124"/>
      <c r="C412" s="125"/>
      <c r="D412" s="490"/>
      <c r="E412" s="490"/>
      <c r="F412" s="490"/>
      <c r="G412" s="490"/>
      <c r="H412" s="490"/>
      <c r="I412" s="490"/>
      <c r="J412" s="490"/>
      <c r="K412" s="490"/>
      <c r="L412" s="490"/>
      <c r="M412" s="34"/>
    </row>
    <row r="413" spans="1:13" ht="20.25" x14ac:dyDescent="0.2">
      <c r="A413" s="32"/>
      <c r="B413" s="124"/>
      <c r="C413" s="125"/>
      <c r="D413" s="490"/>
      <c r="E413" s="490"/>
      <c r="F413" s="490"/>
      <c r="G413" s="490"/>
      <c r="H413" s="490"/>
      <c r="I413" s="490"/>
      <c r="J413" s="490"/>
      <c r="K413" s="490"/>
      <c r="L413" s="490"/>
      <c r="M413" s="34"/>
    </row>
    <row r="414" spans="1:13" ht="20.25" x14ac:dyDescent="0.2">
      <c r="A414" s="32"/>
      <c r="B414" s="124"/>
      <c r="C414" s="125"/>
      <c r="D414" s="490"/>
      <c r="E414" s="490"/>
      <c r="F414" s="490"/>
      <c r="G414" s="490"/>
      <c r="H414" s="490"/>
      <c r="I414" s="490"/>
      <c r="J414" s="490"/>
      <c r="K414" s="490"/>
      <c r="L414" s="490"/>
      <c r="M414" s="34"/>
    </row>
    <row r="415" spans="1:13" ht="20.25" x14ac:dyDescent="0.2">
      <c r="A415" s="32"/>
      <c r="B415" s="124"/>
      <c r="C415" s="125"/>
      <c r="D415" s="490"/>
      <c r="E415" s="490"/>
      <c r="F415" s="490"/>
      <c r="G415" s="490"/>
      <c r="H415" s="490"/>
      <c r="I415" s="490"/>
      <c r="J415" s="490"/>
      <c r="K415" s="490"/>
      <c r="L415" s="490"/>
      <c r="M415" s="34"/>
    </row>
    <row r="416" spans="1:13" ht="20.25" x14ac:dyDescent="0.2">
      <c r="A416" s="32"/>
      <c r="B416" s="124"/>
      <c r="C416" s="125"/>
      <c r="D416" s="490"/>
      <c r="E416" s="490"/>
      <c r="F416" s="490"/>
      <c r="G416" s="490"/>
      <c r="H416" s="490"/>
      <c r="I416" s="490"/>
      <c r="J416" s="490"/>
      <c r="K416" s="490"/>
      <c r="L416" s="490"/>
      <c r="M416" s="34"/>
    </row>
    <row r="417" spans="1:13" ht="20.25" x14ac:dyDescent="0.2">
      <c r="A417" s="32"/>
      <c r="B417" s="124"/>
      <c r="C417" s="125"/>
      <c r="D417" s="490"/>
      <c r="E417" s="490"/>
      <c r="F417" s="490"/>
      <c r="G417" s="490"/>
      <c r="H417" s="490"/>
      <c r="I417" s="490"/>
      <c r="J417" s="490"/>
      <c r="K417" s="490"/>
      <c r="L417" s="490"/>
      <c r="M417" s="34"/>
    </row>
    <row r="418" spans="1:13" ht="20.25" x14ac:dyDescent="0.2">
      <c r="A418" s="32"/>
      <c r="B418" s="124"/>
      <c r="C418" s="125"/>
      <c r="D418" s="490"/>
      <c r="E418" s="490"/>
      <c r="F418" s="490"/>
      <c r="G418" s="490"/>
      <c r="H418" s="490"/>
      <c r="I418" s="490"/>
      <c r="J418" s="490"/>
      <c r="K418" s="490"/>
      <c r="L418" s="490"/>
      <c r="M418" s="34"/>
    </row>
    <row r="419" spans="1:13" ht="20.25" x14ac:dyDescent="0.2">
      <c r="A419" s="32"/>
      <c r="B419" s="124"/>
      <c r="C419" s="125"/>
      <c r="D419" s="490"/>
      <c r="E419" s="490"/>
      <c r="F419" s="490"/>
      <c r="G419" s="490"/>
      <c r="H419" s="490"/>
      <c r="I419" s="490"/>
      <c r="J419" s="490"/>
      <c r="K419" s="490"/>
      <c r="L419" s="490"/>
      <c r="M419" s="34"/>
    </row>
    <row r="420" spans="1:13" ht="20.25" x14ac:dyDescent="0.2">
      <c r="A420" s="32"/>
      <c r="B420" s="124"/>
      <c r="C420" s="125"/>
      <c r="D420" s="490"/>
      <c r="E420" s="490"/>
      <c r="F420" s="490"/>
      <c r="G420" s="490"/>
      <c r="H420" s="490"/>
      <c r="I420" s="490"/>
      <c r="J420" s="490"/>
      <c r="K420" s="490"/>
      <c r="L420" s="490"/>
      <c r="M420" s="34"/>
    </row>
    <row r="421" spans="1:13" ht="20.25" x14ac:dyDescent="0.2">
      <c r="A421" s="32"/>
      <c r="B421" s="124"/>
      <c r="C421" s="125"/>
      <c r="D421" s="490"/>
      <c r="E421" s="490"/>
      <c r="F421" s="490"/>
      <c r="G421" s="490"/>
      <c r="H421" s="490"/>
      <c r="I421" s="490"/>
      <c r="J421" s="490"/>
      <c r="K421" s="490"/>
      <c r="L421" s="490"/>
      <c r="M421" s="34"/>
    </row>
    <row r="422" spans="1:13" ht="20.25" x14ac:dyDescent="0.2">
      <c r="A422" s="32"/>
      <c r="B422" s="124"/>
      <c r="C422" s="125"/>
      <c r="D422" s="490"/>
      <c r="E422" s="490"/>
      <c r="F422" s="490"/>
      <c r="G422" s="490"/>
      <c r="H422" s="490"/>
      <c r="I422" s="490"/>
      <c r="J422" s="490"/>
      <c r="K422" s="490"/>
      <c r="L422" s="490"/>
      <c r="M422" s="34"/>
    </row>
    <row r="423" spans="1:13" ht="20.25" x14ac:dyDescent="0.2">
      <c r="A423" s="32"/>
      <c r="B423" s="124"/>
      <c r="C423" s="125"/>
      <c r="D423" s="490"/>
      <c r="E423" s="490"/>
      <c r="F423" s="490"/>
      <c r="G423" s="490"/>
      <c r="H423" s="490"/>
      <c r="I423" s="490"/>
      <c r="J423" s="490"/>
      <c r="K423" s="490"/>
      <c r="L423" s="490"/>
      <c r="M423" s="34"/>
    </row>
    <row r="424" spans="1:13" ht="20.25" x14ac:dyDescent="0.2">
      <c r="A424" s="32"/>
      <c r="B424" s="124"/>
      <c r="C424" s="125"/>
      <c r="D424" s="490"/>
      <c r="E424" s="490"/>
      <c r="F424" s="490"/>
      <c r="G424" s="490"/>
      <c r="H424" s="490"/>
      <c r="I424" s="490"/>
      <c r="J424" s="490"/>
      <c r="K424" s="490"/>
      <c r="L424" s="490"/>
      <c r="M424" s="34"/>
    </row>
    <row r="425" spans="1:13" ht="20.25" x14ac:dyDescent="0.2">
      <c r="A425" s="32"/>
      <c r="B425" s="124"/>
      <c r="C425" s="125"/>
      <c r="D425" s="490"/>
      <c r="E425" s="490"/>
      <c r="F425" s="490"/>
      <c r="G425" s="490"/>
      <c r="H425" s="490"/>
      <c r="I425" s="490"/>
      <c r="J425" s="490"/>
      <c r="K425" s="490"/>
      <c r="L425" s="490"/>
      <c r="M425" s="34"/>
    </row>
    <row r="426" spans="1:13" ht="21" thickBot="1" x14ac:dyDescent="0.25">
      <c r="A426" s="32"/>
      <c r="B426" s="126"/>
      <c r="C426" s="127"/>
      <c r="D426" s="491"/>
      <c r="E426" s="491"/>
      <c r="F426" s="491"/>
      <c r="G426" s="491"/>
      <c r="H426" s="491"/>
      <c r="I426" s="491"/>
      <c r="J426" s="491"/>
      <c r="K426" s="491"/>
      <c r="L426" s="491"/>
      <c r="M426" s="34"/>
    </row>
    <row r="427" spans="1:13" ht="21" thickBot="1" x14ac:dyDescent="0.25">
      <c r="A427" s="64"/>
      <c r="B427" s="65"/>
      <c r="C427" s="65"/>
      <c r="D427" s="65"/>
      <c r="E427" s="65"/>
      <c r="F427" s="65"/>
      <c r="G427" s="65"/>
      <c r="H427" s="65"/>
      <c r="I427" s="65"/>
      <c r="J427" s="65"/>
      <c r="K427" s="65"/>
      <c r="L427" s="65"/>
      <c r="M427" s="66"/>
    </row>
    <row r="428" spans="1:13" ht="13.5" thickTop="1" x14ac:dyDescent="0.2"/>
  </sheetData>
  <sheetProtection sheet="1" objects="1" scenarios="1"/>
  <mergeCells count="371">
    <mergeCell ref="D13:L13"/>
    <mergeCell ref="D14:L14"/>
    <mergeCell ref="D15:L15"/>
    <mergeCell ref="D10:L10"/>
    <mergeCell ref="D11:L11"/>
    <mergeCell ref="D12:L12"/>
    <mergeCell ref="D19:L19"/>
    <mergeCell ref="D20:L20"/>
    <mergeCell ref="B2:L6"/>
    <mergeCell ref="B9:L9"/>
    <mergeCell ref="D24:L24"/>
    <mergeCell ref="D25:L25"/>
    <mergeCell ref="D26:L26"/>
    <mergeCell ref="D21:L21"/>
    <mergeCell ref="D22:L22"/>
    <mergeCell ref="D23:L23"/>
    <mergeCell ref="D16:L16"/>
    <mergeCell ref="D17:L17"/>
    <mergeCell ref="D18:L18"/>
    <mergeCell ref="D33:L33"/>
    <mergeCell ref="D34:L34"/>
    <mergeCell ref="D35:L35"/>
    <mergeCell ref="D30:L30"/>
    <mergeCell ref="D31:L31"/>
    <mergeCell ref="D32:L32"/>
    <mergeCell ref="D27:L27"/>
    <mergeCell ref="D28:L28"/>
    <mergeCell ref="D29:L29"/>
    <mergeCell ref="D42:L42"/>
    <mergeCell ref="D43:L43"/>
    <mergeCell ref="D44:L44"/>
    <mergeCell ref="D39:L39"/>
    <mergeCell ref="D40:L40"/>
    <mergeCell ref="D41:L41"/>
    <mergeCell ref="D36:L36"/>
    <mergeCell ref="D37:L37"/>
    <mergeCell ref="D38:L38"/>
    <mergeCell ref="D51:L51"/>
    <mergeCell ref="D52:L52"/>
    <mergeCell ref="D53:L53"/>
    <mergeCell ref="D48:L48"/>
    <mergeCell ref="D49:L49"/>
    <mergeCell ref="D50:L50"/>
    <mergeCell ref="D45:L45"/>
    <mergeCell ref="D46:L46"/>
    <mergeCell ref="D47:L47"/>
    <mergeCell ref="D60:L60"/>
    <mergeCell ref="B63:L67"/>
    <mergeCell ref="B70:L70"/>
    <mergeCell ref="D71:L71"/>
    <mergeCell ref="D72:L72"/>
    <mergeCell ref="D54:L54"/>
    <mergeCell ref="D55:L55"/>
    <mergeCell ref="D56:L56"/>
    <mergeCell ref="D57:L57"/>
    <mergeCell ref="D58:L58"/>
    <mergeCell ref="D59:L59"/>
    <mergeCell ref="D79:L79"/>
    <mergeCell ref="D80:L80"/>
    <mergeCell ref="D81:L81"/>
    <mergeCell ref="D82:L82"/>
    <mergeCell ref="D83:L83"/>
    <mergeCell ref="D84:L84"/>
    <mergeCell ref="D73:L73"/>
    <mergeCell ref="D74:L74"/>
    <mergeCell ref="D75:L75"/>
    <mergeCell ref="D76:L76"/>
    <mergeCell ref="D77:L77"/>
    <mergeCell ref="D78:L78"/>
    <mergeCell ref="D91:L91"/>
    <mergeCell ref="D92:L92"/>
    <mergeCell ref="D93:L93"/>
    <mergeCell ref="D94:L94"/>
    <mergeCell ref="D95:L95"/>
    <mergeCell ref="D96:L96"/>
    <mergeCell ref="D85:L85"/>
    <mergeCell ref="D86:L86"/>
    <mergeCell ref="D87:L87"/>
    <mergeCell ref="D88:L88"/>
    <mergeCell ref="D89:L89"/>
    <mergeCell ref="D90:L90"/>
    <mergeCell ref="D103:L103"/>
    <mergeCell ref="D104:L104"/>
    <mergeCell ref="D105:L105"/>
    <mergeCell ref="D106:L106"/>
    <mergeCell ref="D107:L107"/>
    <mergeCell ref="D108:L108"/>
    <mergeCell ref="D97:L97"/>
    <mergeCell ref="D98:L98"/>
    <mergeCell ref="D99:L99"/>
    <mergeCell ref="D100:L100"/>
    <mergeCell ref="D101:L101"/>
    <mergeCell ref="D102:L102"/>
    <mergeCell ref="D115:L115"/>
    <mergeCell ref="D116:L116"/>
    <mergeCell ref="D117:L117"/>
    <mergeCell ref="D118:L118"/>
    <mergeCell ref="D119:L119"/>
    <mergeCell ref="D120:L120"/>
    <mergeCell ref="D109:L109"/>
    <mergeCell ref="D110:L110"/>
    <mergeCell ref="D111:L111"/>
    <mergeCell ref="D112:L112"/>
    <mergeCell ref="D113:L113"/>
    <mergeCell ref="D114:L114"/>
    <mergeCell ref="D135:L135"/>
    <mergeCell ref="D136:L136"/>
    <mergeCell ref="D137:L137"/>
    <mergeCell ref="D138:L138"/>
    <mergeCell ref="D139:L139"/>
    <mergeCell ref="D140:L140"/>
    <mergeCell ref="D121:L121"/>
    <mergeCell ref="B124:L128"/>
    <mergeCell ref="B131:L131"/>
    <mergeCell ref="D132:L132"/>
    <mergeCell ref="D133:L133"/>
    <mergeCell ref="D134:L134"/>
    <mergeCell ref="D147:L147"/>
    <mergeCell ref="D148:L148"/>
    <mergeCell ref="D149:L149"/>
    <mergeCell ref="D150:L150"/>
    <mergeCell ref="D151:L151"/>
    <mergeCell ref="D152:L152"/>
    <mergeCell ref="D141:L141"/>
    <mergeCell ref="D142:L142"/>
    <mergeCell ref="D143:L143"/>
    <mergeCell ref="D144:L144"/>
    <mergeCell ref="D145:L145"/>
    <mergeCell ref="D146:L146"/>
    <mergeCell ref="D159:L159"/>
    <mergeCell ref="D160:L160"/>
    <mergeCell ref="D161:L161"/>
    <mergeCell ref="D162:L162"/>
    <mergeCell ref="D163:L163"/>
    <mergeCell ref="D164:L164"/>
    <mergeCell ref="D153:L153"/>
    <mergeCell ref="D154:L154"/>
    <mergeCell ref="D155:L155"/>
    <mergeCell ref="D156:L156"/>
    <mergeCell ref="D157:L157"/>
    <mergeCell ref="D158:L158"/>
    <mergeCell ref="D171:L171"/>
    <mergeCell ref="D172:L172"/>
    <mergeCell ref="D173:L173"/>
    <mergeCell ref="D174:L174"/>
    <mergeCell ref="D175:L175"/>
    <mergeCell ref="D176:L176"/>
    <mergeCell ref="D165:L165"/>
    <mergeCell ref="D166:L166"/>
    <mergeCell ref="D167:L167"/>
    <mergeCell ref="D168:L168"/>
    <mergeCell ref="D169:L169"/>
    <mergeCell ref="D170:L170"/>
    <mergeCell ref="B185:L189"/>
    <mergeCell ref="B192:L192"/>
    <mergeCell ref="D193:L193"/>
    <mergeCell ref="D194:L194"/>
    <mergeCell ref="D195:L195"/>
    <mergeCell ref="D196:L196"/>
    <mergeCell ref="D177:L177"/>
    <mergeCell ref="D178:L178"/>
    <mergeCell ref="D179:L179"/>
    <mergeCell ref="D180:L180"/>
    <mergeCell ref="D181:L181"/>
    <mergeCell ref="D182:L182"/>
    <mergeCell ref="D203:L203"/>
    <mergeCell ref="D204:L204"/>
    <mergeCell ref="D205:L205"/>
    <mergeCell ref="D206:L206"/>
    <mergeCell ref="D207:L207"/>
    <mergeCell ref="D208:L208"/>
    <mergeCell ref="D197:L197"/>
    <mergeCell ref="D198:L198"/>
    <mergeCell ref="D199:L199"/>
    <mergeCell ref="D200:L200"/>
    <mergeCell ref="D201:L201"/>
    <mergeCell ref="D202:L202"/>
    <mergeCell ref="D215:L215"/>
    <mergeCell ref="D216:L216"/>
    <mergeCell ref="D217:L217"/>
    <mergeCell ref="D218:L218"/>
    <mergeCell ref="D219:L219"/>
    <mergeCell ref="D220:L220"/>
    <mergeCell ref="D209:L209"/>
    <mergeCell ref="D210:L210"/>
    <mergeCell ref="D211:L211"/>
    <mergeCell ref="D212:L212"/>
    <mergeCell ref="D213:L213"/>
    <mergeCell ref="D214:L214"/>
    <mergeCell ref="D227:L227"/>
    <mergeCell ref="D228:L228"/>
    <mergeCell ref="D229:L229"/>
    <mergeCell ref="D230:L230"/>
    <mergeCell ref="D231:L231"/>
    <mergeCell ref="D232:L232"/>
    <mergeCell ref="D221:L221"/>
    <mergeCell ref="D222:L222"/>
    <mergeCell ref="D223:L223"/>
    <mergeCell ref="D224:L224"/>
    <mergeCell ref="D225:L225"/>
    <mergeCell ref="D226:L226"/>
    <mergeCell ref="D239:L239"/>
    <mergeCell ref="D240:L240"/>
    <mergeCell ref="D241:L241"/>
    <mergeCell ref="D242:L242"/>
    <mergeCell ref="D243:L243"/>
    <mergeCell ref="B246:L250"/>
    <mergeCell ref="D233:L233"/>
    <mergeCell ref="D234:L234"/>
    <mergeCell ref="D235:L235"/>
    <mergeCell ref="D236:L236"/>
    <mergeCell ref="D237:L237"/>
    <mergeCell ref="D238:L238"/>
    <mergeCell ref="D259:L259"/>
    <mergeCell ref="D260:L260"/>
    <mergeCell ref="D261:L261"/>
    <mergeCell ref="D262:L262"/>
    <mergeCell ref="D263:L263"/>
    <mergeCell ref="D264:L264"/>
    <mergeCell ref="B253:L253"/>
    <mergeCell ref="D254:L254"/>
    <mergeCell ref="D255:L255"/>
    <mergeCell ref="D256:L256"/>
    <mergeCell ref="D257:L257"/>
    <mergeCell ref="D258:L258"/>
    <mergeCell ref="D271:L271"/>
    <mergeCell ref="D272:L272"/>
    <mergeCell ref="D273:L273"/>
    <mergeCell ref="D274:L274"/>
    <mergeCell ref="D275:L275"/>
    <mergeCell ref="D276:L276"/>
    <mergeCell ref="D265:L265"/>
    <mergeCell ref="D266:L266"/>
    <mergeCell ref="D267:L267"/>
    <mergeCell ref="D268:L268"/>
    <mergeCell ref="D269:L269"/>
    <mergeCell ref="D270:L270"/>
    <mergeCell ref="D283:L283"/>
    <mergeCell ref="D284:L284"/>
    <mergeCell ref="D285:L285"/>
    <mergeCell ref="D286:L286"/>
    <mergeCell ref="D287:L287"/>
    <mergeCell ref="D288:L288"/>
    <mergeCell ref="D277:L277"/>
    <mergeCell ref="D278:L278"/>
    <mergeCell ref="D279:L279"/>
    <mergeCell ref="D280:L280"/>
    <mergeCell ref="D281:L281"/>
    <mergeCell ref="D282:L282"/>
    <mergeCell ref="D295:L295"/>
    <mergeCell ref="D296:L296"/>
    <mergeCell ref="D297:L297"/>
    <mergeCell ref="D298:L298"/>
    <mergeCell ref="D299:L299"/>
    <mergeCell ref="D300:L300"/>
    <mergeCell ref="D289:L289"/>
    <mergeCell ref="D290:L290"/>
    <mergeCell ref="D291:L291"/>
    <mergeCell ref="D292:L292"/>
    <mergeCell ref="D293:L293"/>
    <mergeCell ref="D294:L294"/>
    <mergeCell ref="D315:L315"/>
    <mergeCell ref="D316:L316"/>
    <mergeCell ref="D317:L317"/>
    <mergeCell ref="D318:L318"/>
    <mergeCell ref="D319:L319"/>
    <mergeCell ref="D320:L320"/>
    <mergeCell ref="D301:L301"/>
    <mergeCell ref="D302:L302"/>
    <mergeCell ref="D303:L303"/>
    <mergeCell ref="D304:L304"/>
    <mergeCell ref="B307:L311"/>
    <mergeCell ref="B314:L314"/>
    <mergeCell ref="D327:L327"/>
    <mergeCell ref="D328:L328"/>
    <mergeCell ref="D329:L329"/>
    <mergeCell ref="D330:L330"/>
    <mergeCell ref="D331:L331"/>
    <mergeCell ref="D332:L332"/>
    <mergeCell ref="D321:L321"/>
    <mergeCell ref="D322:L322"/>
    <mergeCell ref="D323:L323"/>
    <mergeCell ref="D324:L324"/>
    <mergeCell ref="D325:L325"/>
    <mergeCell ref="D326:L326"/>
    <mergeCell ref="D339:L339"/>
    <mergeCell ref="D340:L340"/>
    <mergeCell ref="D341:L341"/>
    <mergeCell ref="D342:L342"/>
    <mergeCell ref="D343:L343"/>
    <mergeCell ref="D344:L344"/>
    <mergeCell ref="D333:L333"/>
    <mergeCell ref="D334:L334"/>
    <mergeCell ref="D335:L335"/>
    <mergeCell ref="D336:L336"/>
    <mergeCell ref="D337:L337"/>
    <mergeCell ref="D338:L338"/>
    <mergeCell ref="D351:L351"/>
    <mergeCell ref="D352:L352"/>
    <mergeCell ref="D353:L353"/>
    <mergeCell ref="D354:L354"/>
    <mergeCell ref="D355:L355"/>
    <mergeCell ref="D356:L356"/>
    <mergeCell ref="D345:L345"/>
    <mergeCell ref="D346:L346"/>
    <mergeCell ref="D347:L347"/>
    <mergeCell ref="D348:L348"/>
    <mergeCell ref="D349:L349"/>
    <mergeCell ref="D350:L350"/>
    <mergeCell ref="D363:L363"/>
    <mergeCell ref="D364:L364"/>
    <mergeCell ref="D365:L365"/>
    <mergeCell ref="B368:L372"/>
    <mergeCell ref="B375:L375"/>
    <mergeCell ref="D376:L376"/>
    <mergeCell ref="D357:L357"/>
    <mergeCell ref="D358:L358"/>
    <mergeCell ref="D359:L359"/>
    <mergeCell ref="D360:L360"/>
    <mergeCell ref="D361:L361"/>
    <mergeCell ref="D362:L362"/>
    <mergeCell ref="D383:L383"/>
    <mergeCell ref="D384:L384"/>
    <mergeCell ref="D385:L385"/>
    <mergeCell ref="D386:L386"/>
    <mergeCell ref="D387:L387"/>
    <mergeCell ref="D388:L388"/>
    <mergeCell ref="D377:L377"/>
    <mergeCell ref="D378:L378"/>
    <mergeCell ref="D379:L379"/>
    <mergeCell ref="D380:L380"/>
    <mergeCell ref="D381:L381"/>
    <mergeCell ref="D382:L382"/>
    <mergeCell ref="D395:L395"/>
    <mergeCell ref="D396:L396"/>
    <mergeCell ref="D397:L397"/>
    <mergeCell ref="D398:L398"/>
    <mergeCell ref="D399:L399"/>
    <mergeCell ref="D400:L400"/>
    <mergeCell ref="D389:L389"/>
    <mergeCell ref="D390:L390"/>
    <mergeCell ref="D391:L391"/>
    <mergeCell ref="D392:L392"/>
    <mergeCell ref="D393:L393"/>
    <mergeCell ref="D394:L394"/>
    <mergeCell ref="D407:L407"/>
    <mergeCell ref="D408:L408"/>
    <mergeCell ref="D409:L409"/>
    <mergeCell ref="D410:L410"/>
    <mergeCell ref="D411:L411"/>
    <mergeCell ref="D412:L412"/>
    <mergeCell ref="D401:L401"/>
    <mergeCell ref="D402:L402"/>
    <mergeCell ref="D403:L403"/>
    <mergeCell ref="D404:L404"/>
    <mergeCell ref="D405:L405"/>
    <mergeCell ref="D406:L406"/>
    <mergeCell ref="D425:L425"/>
    <mergeCell ref="D426:L426"/>
    <mergeCell ref="D419:L419"/>
    <mergeCell ref="D420:L420"/>
    <mergeCell ref="D421:L421"/>
    <mergeCell ref="D422:L422"/>
    <mergeCell ref="D423:L423"/>
    <mergeCell ref="D424:L424"/>
    <mergeCell ref="D413:L413"/>
    <mergeCell ref="D414:L414"/>
    <mergeCell ref="D415:L415"/>
    <mergeCell ref="D416:L416"/>
    <mergeCell ref="D417:L417"/>
    <mergeCell ref="D418:L418"/>
  </mergeCells>
  <pageMargins left="0.37" right="0.37" top="0.5" bottom="0.5" header="0.5" footer="0.5"/>
  <pageSetup scale="64"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4" tint="0.39997558519241921"/>
  </sheetPr>
  <dimension ref="A1:AG126"/>
  <sheetViews>
    <sheetView topLeftCell="E1" zoomScale="60" zoomScaleNormal="60" workbookViewId="0">
      <selection activeCell="A15" sqref="A15"/>
    </sheetView>
  </sheetViews>
  <sheetFormatPr defaultColWidth="9.140625" defaultRowHeight="14.25" x14ac:dyDescent="0.2"/>
  <cols>
    <col min="1" max="1" width="8.7109375" style="67" customWidth="1"/>
    <col min="2" max="2" width="16.85546875" style="67" bestFit="1" customWidth="1"/>
    <col min="3" max="3" width="19.42578125" style="67" bestFit="1" customWidth="1"/>
    <col min="4" max="4" width="37.28515625" style="67" bestFit="1" customWidth="1"/>
    <col min="5" max="5" width="34.85546875" style="67" customWidth="1"/>
    <col min="6" max="6" width="24.42578125" style="68" bestFit="1" customWidth="1"/>
    <col min="7" max="7" width="23" style="69" bestFit="1" customWidth="1"/>
    <col min="8" max="8" width="31.5703125" style="69" customWidth="1"/>
    <col min="9" max="9" width="29.140625" style="69" customWidth="1"/>
    <col min="10" max="10" width="41.7109375" style="69" customWidth="1"/>
    <col min="11" max="11" width="32.7109375" style="70" bestFit="1" customWidth="1"/>
    <col min="12" max="12" width="7.7109375" style="70" bestFit="1" customWidth="1"/>
    <col min="13" max="13" width="25.5703125" style="70" bestFit="1" customWidth="1"/>
    <col min="14" max="14" width="27" style="71" bestFit="1" customWidth="1"/>
    <col min="15" max="15" width="16.5703125" style="71" bestFit="1" customWidth="1"/>
    <col min="16" max="17" width="16.5703125" style="71" customWidth="1"/>
    <col min="18" max="18" width="19.85546875" style="71" bestFit="1" customWidth="1"/>
    <col min="19" max="19" width="16.85546875" style="67" bestFit="1" customWidth="1"/>
    <col min="20" max="22" width="16.85546875" style="67" customWidth="1"/>
    <col min="23" max="23" width="14.85546875" style="67" bestFit="1" customWidth="1"/>
    <col min="24" max="24" width="12.7109375" style="67" bestFit="1" customWidth="1"/>
    <col min="25" max="25" width="27" style="67" bestFit="1" customWidth="1"/>
    <col min="26" max="26" width="25" style="67" customWidth="1"/>
    <col min="27" max="27" width="17" style="67" bestFit="1" customWidth="1"/>
    <col min="28" max="28" width="27.85546875" style="67" customWidth="1"/>
    <col min="29" max="29" width="16.28515625" style="67" bestFit="1" customWidth="1"/>
    <col min="30" max="30" width="26" style="67" customWidth="1"/>
    <col min="31" max="31" width="8.5703125" style="67" customWidth="1"/>
    <col min="32" max="32" width="16.28515625" style="67" customWidth="1"/>
    <col min="33" max="16384" width="9.140625" style="67"/>
  </cols>
  <sheetData>
    <row r="1" spans="1:33" ht="15.75" customHeight="1" thickTop="1" thickBot="1" x14ac:dyDescent="0.45">
      <c r="A1" s="55"/>
      <c r="B1" s="56"/>
      <c r="C1" s="56"/>
      <c r="D1" s="56"/>
      <c r="E1" s="56"/>
      <c r="F1" s="56"/>
      <c r="G1" s="56"/>
      <c r="H1" s="56"/>
      <c r="I1" s="56"/>
      <c r="J1" s="56"/>
      <c r="K1" s="56"/>
      <c r="L1" s="56"/>
      <c r="M1" s="56"/>
      <c r="N1" s="56"/>
      <c r="O1" s="56"/>
      <c r="P1" s="56"/>
      <c r="Q1" s="56"/>
      <c r="R1" s="56"/>
      <c r="S1" s="56"/>
      <c r="T1" s="56"/>
      <c r="U1" s="56"/>
      <c r="V1" s="56"/>
      <c r="W1" s="91"/>
      <c r="X1" s="91"/>
      <c r="Y1" s="91"/>
      <c r="Z1" s="91"/>
      <c r="AA1" s="91"/>
      <c r="AB1" s="91"/>
      <c r="AC1" s="91"/>
      <c r="AD1" s="91"/>
      <c r="AE1" s="91"/>
      <c r="AF1" s="91"/>
      <c r="AG1" s="92"/>
    </row>
    <row r="2" spans="1:33" ht="15" customHeight="1" x14ac:dyDescent="0.25">
      <c r="A2" s="57"/>
      <c r="B2" s="505" t="str">
        <f>IF('Stage Generator'!F17="","",'Stage Generator'!F17&amp;" Well Summary")</f>
        <v>Well A Well Summary</v>
      </c>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7"/>
      <c r="AG2" s="77"/>
    </row>
    <row r="3" spans="1:33" ht="15" customHeight="1" x14ac:dyDescent="0.25">
      <c r="A3" s="57"/>
      <c r="B3" s="508"/>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10"/>
      <c r="AG3" s="77"/>
    </row>
    <row r="4" spans="1:33" ht="15" customHeight="1" x14ac:dyDescent="0.25">
      <c r="A4" s="57"/>
      <c r="B4" s="508"/>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10"/>
      <c r="AG4" s="77"/>
    </row>
    <row r="5" spans="1:33" ht="15" customHeight="1" x14ac:dyDescent="0.25">
      <c r="A5" s="57"/>
      <c r="B5" s="508"/>
      <c r="C5" s="509"/>
      <c r="D5" s="509"/>
      <c r="E5" s="509"/>
      <c r="F5" s="509"/>
      <c r="G5" s="509"/>
      <c r="H5" s="509"/>
      <c r="I5" s="509"/>
      <c r="J5" s="509"/>
      <c r="K5" s="509"/>
      <c r="L5" s="509"/>
      <c r="M5" s="509"/>
      <c r="N5" s="509"/>
      <c r="O5" s="509"/>
      <c r="P5" s="509"/>
      <c r="Q5" s="509"/>
      <c r="R5" s="509"/>
      <c r="S5" s="509"/>
      <c r="T5" s="509"/>
      <c r="U5" s="509"/>
      <c r="V5" s="509"/>
      <c r="W5" s="509"/>
      <c r="X5" s="509"/>
      <c r="Y5" s="509"/>
      <c r="Z5" s="509"/>
      <c r="AA5" s="509"/>
      <c r="AB5" s="509"/>
      <c r="AC5" s="509"/>
      <c r="AD5" s="509"/>
      <c r="AE5" s="509"/>
      <c r="AF5" s="510"/>
      <c r="AG5" s="77"/>
    </row>
    <row r="6" spans="1:33" ht="15.75" customHeight="1" thickBot="1" x14ac:dyDescent="0.3">
      <c r="A6" s="58"/>
      <c r="B6" s="511"/>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3"/>
      <c r="AG6" s="77"/>
    </row>
    <row r="7" spans="1:33" ht="16.5" customHeight="1" x14ac:dyDescent="0.2">
      <c r="A7" s="59"/>
      <c r="B7" s="52"/>
      <c r="C7" s="52"/>
      <c r="D7" s="52"/>
      <c r="E7" s="52"/>
      <c r="F7" s="52"/>
      <c r="G7" s="52"/>
      <c r="H7" s="52"/>
      <c r="I7" s="52"/>
      <c r="J7" s="52"/>
      <c r="K7" s="52"/>
      <c r="L7" s="52"/>
      <c r="M7" s="52"/>
      <c r="N7" s="52"/>
      <c r="O7" s="52"/>
      <c r="P7" s="52"/>
      <c r="Q7" s="52"/>
      <c r="R7" s="52"/>
      <c r="S7" s="52"/>
      <c r="T7" s="52"/>
      <c r="U7" s="52"/>
      <c r="V7" s="52"/>
      <c r="W7" s="76"/>
      <c r="X7" s="76"/>
      <c r="Y7" s="76"/>
      <c r="Z7" s="76"/>
      <c r="AA7" s="76"/>
      <c r="AB7" s="76"/>
      <c r="AC7" s="76"/>
      <c r="AD7" s="76"/>
      <c r="AE7" s="76"/>
      <c r="AF7" s="76"/>
      <c r="AG7" s="77"/>
    </row>
    <row r="8" spans="1:33" ht="15.75" thickBot="1" x14ac:dyDescent="0.25">
      <c r="A8" s="59"/>
      <c r="B8" s="72"/>
      <c r="C8" s="72"/>
      <c r="D8" s="72"/>
      <c r="E8" s="72"/>
      <c r="F8" s="73"/>
      <c r="G8" s="74"/>
      <c r="H8" s="74"/>
      <c r="I8" s="74"/>
      <c r="J8" s="74"/>
      <c r="K8" s="75"/>
      <c r="L8" s="75"/>
      <c r="M8" s="75"/>
      <c r="N8" s="76"/>
      <c r="O8" s="76"/>
      <c r="P8" s="76"/>
      <c r="Q8" s="76"/>
      <c r="R8" s="76"/>
      <c r="S8" s="76"/>
      <c r="T8" s="76"/>
      <c r="U8" s="76"/>
      <c r="V8" s="76"/>
      <c r="W8" s="76"/>
      <c r="X8" s="76"/>
      <c r="Y8" s="76"/>
      <c r="Z8" s="76"/>
      <c r="AA8" s="76"/>
      <c r="AB8" s="76"/>
      <c r="AC8" s="76"/>
      <c r="AD8" s="76"/>
      <c r="AE8" s="76"/>
      <c r="AF8" s="76"/>
      <c r="AG8" s="77"/>
    </row>
    <row r="9" spans="1:33" ht="16.5" thickBot="1" x14ac:dyDescent="0.3">
      <c r="A9" s="59"/>
      <c r="B9" s="287" t="s">
        <v>0</v>
      </c>
      <c r="C9" s="222" t="s">
        <v>199</v>
      </c>
      <c r="D9" s="289"/>
      <c r="E9" s="289"/>
      <c r="F9" s="289"/>
      <c r="G9" s="289"/>
      <c r="H9" s="35"/>
      <c r="I9" s="35"/>
      <c r="J9" s="74"/>
      <c r="K9" s="75"/>
      <c r="L9" s="75"/>
      <c r="M9" s="75"/>
      <c r="N9" s="76"/>
      <c r="O9" s="76"/>
      <c r="P9" s="76"/>
      <c r="Q9" s="76"/>
      <c r="R9" s="76"/>
      <c r="S9" s="76"/>
      <c r="T9" s="76"/>
      <c r="U9" s="76"/>
      <c r="V9" s="76"/>
      <c r="W9" s="76"/>
      <c r="X9" s="76"/>
      <c r="Y9" s="76"/>
      <c r="Z9" s="76"/>
      <c r="AA9" s="76"/>
      <c r="AB9" s="76"/>
      <c r="AC9" s="76"/>
      <c r="AD9" s="76"/>
      <c r="AE9" s="76"/>
      <c r="AF9" s="76"/>
      <c r="AG9" s="77"/>
    </row>
    <row r="10" spans="1:33" ht="16.5" thickBot="1" x14ac:dyDescent="0.3">
      <c r="A10" s="59"/>
      <c r="B10" s="291" t="s">
        <v>25</v>
      </c>
      <c r="C10" s="292" t="s">
        <v>42</v>
      </c>
      <c r="D10" s="293" t="s">
        <v>43</v>
      </c>
      <c r="E10" s="294" t="s">
        <v>44</v>
      </c>
      <c r="F10" s="294" t="s">
        <v>171</v>
      </c>
      <c r="G10" s="295" t="s">
        <v>46</v>
      </c>
      <c r="H10" s="74"/>
      <c r="I10" s="74"/>
      <c r="J10" s="74"/>
      <c r="K10" s="75"/>
      <c r="L10" s="75"/>
      <c r="M10" s="75"/>
      <c r="N10" s="76"/>
      <c r="O10" s="76"/>
      <c r="P10" s="76"/>
      <c r="Q10" s="76"/>
      <c r="R10" s="76"/>
      <c r="S10" s="76"/>
      <c r="T10" s="76"/>
      <c r="U10" s="76"/>
      <c r="V10" s="76"/>
      <c r="W10" s="76"/>
      <c r="X10" s="76"/>
      <c r="Y10" s="76"/>
      <c r="Z10" s="76"/>
      <c r="AA10" s="76"/>
      <c r="AB10" s="76"/>
      <c r="AC10" s="76"/>
      <c r="AD10" s="76"/>
      <c r="AE10" s="76"/>
      <c r="AF10" s="76"/>
      <c r="AG10" s="77"/>
    </row>
    <row r="11" spans="1:33" ht="16.5" thickBot="1" x14ac:dyDescent="0.25">
      <c r="A11" s="59"/>
      <c r="B11" s="297" t="s">
        <v>9</v>
      </c>
      <c r="C11" s="298"/>
      <c r="D11" s="299"/>
      <c r="E11" s="300"/>
      <c r="F11" s="301"/>
      <c r="G11" s="302"/>
      <c r="H11" s="35"/>
      <c r="I11" s="35"/>
      <c r="J11" s="74"/>
      <c r="K11" s="75"/>
      <c r="L11" s="75"/>
      <c r="M11" s="75"/>
      <c r="N11" s="76"/>
      <c r="O11" s="76"/>
      <c r="P11" s="76"/>
      <c r="Q11" s="76"/>
      <c r="R11" s="76"/>
      <c r="S11" s="76"/>
      <c r="T11" s="76"/>
      <c r="U11" s="76"/>
      <c r="V11" s="76"/>
      <c r="W11" s="76"/>
      <c r="X11" s="76"/>
      <c r="Y11" s="76"/>
      <c r="Z11" s="76"/>
      <c r="AA11" s="76"/>
      <c r="AB11" s="76"/>
      <c r="AC11" s="76"/>
      <c r="AD11" s="76"/>
      <c r="AE11" s="76"/>
      <c r="AF11" s="76"/>
      <c r="AG11" s="77"/>
    </row>
    <row r="12" spans="1:33" ht="16.5" thickBot="1" x14ac:dyDescent="0.25">
      <c r="A12" s="59"/>
      <c r="B12" s="297" t="s">
        <v>40</v>
      </c>
      <c r="C12" s="298"/>
      <c r="D12" s="299"/>
      <c r="E12" s="299"/>
      <c r="F12" s="301"/>
      <c r="G12" s="301"/>
      <c r="H12" s="74"/>
      <c r="I12" s="74"/>
      <c r="J12" s="74"/>
      <c r="K12" s="75"/>
      <c r="L12" s="75"/>
      <c r="M12" s="75"/>
      <c r="N12" s="76"/>
      <c r="O12" s="76"/>
      <c r="P12" s="76"/>
      <c r="Q12" s="76"/>
      <c r="R12" s="76"/>
      <c r="S12" s="76"/>
      <c r="T12" s="76"/>
      <c r="U12" s="76"/>
      <c r="V12" s="76"/>
      <c r="W12" s="76"/>
      <c r="X12" s="76"/>
      <c r="Y12" s="76"/>
      <c r="Z12" s="76"/>
      <c r="AA12" s="76"/>
      <c r="AB12" s="76"/>
      <c r="AC12" s="76"/>
      <c r="AD12" s="76"/>
      <c r="AE12" s="76"/>
      <c r="AF12" s="76"/>
      <c r="AG12" s="77"/>
    </row>
    <row r="13" spans="1:33" ht="16.5" thickBot="1" x14ac:dyDescent="0.25">
      <c r="A13" s="59"/>
      <c r="B13" s="309" t="s">
        <v>41</v>
      </c>
      <c r="C13" s="310"/>
      <c r="D13" s="311"/>
      <c r="E13" s="312"/>
      <c r="F13" s="313"/>
      <c r="G13" s="313"/>
      <c r="H13" s="35"/>
      <c r="I13" s="35"/>
      <c r="J13" s="74"/>
      <c r="K13" s="75"/>
      <c r="L13" s="75"/>
      <c r="M13" s="75"/>
      <c r="N13" s="76"/>
      <c r="O13" s="76"/>
      <c r="P13" s="76"/>
      <c r="Q13" s="76"/>
      <c r="R13" s="76"/>
      <c r="S13" s="76"/>
      <c r="T13" s="76"/>
      <c r="U13" s="76"/>
      <c r="V13" s="76"/>
      <c r="W13" s="76"/>
      <c r="X13" s="76"/>
      <c r="Y13" s="76"/>
      <c r="Z13" s="76"/>
      <c r="AA13" s="76"/>
      <c r="AB13" s="76"/>
      <c r="AC13" s="76"/>
      <c r="AD13" s="76"/>
      <c r="AE13" s="76"/>
      <c r="AF13" s="76"/>
      <c r="AG13" s="77"/>
    </row>
    <row r="14" spans="1:33" ht="15" x14ac:dyDescent="0.2">
      <c r="A14" s="59"/>
      <c r="B14" s="72"/>
      <c r="C14" s="72"/>
      <c r="D14" s="72"/>
      <c r="E14" s="72"/>
      <c r="F14" s="73"/>
      <c r="G14" s="74"/>
      <c r="H14" s="74"/>
      <c r="I14" s="74"/>
      <c r="J14" s="74"/>
      <c r="K14" s="75"/>
      <c r="L14" s="75"/>
      <c r="M14" s="75"/>
      <c r="N14" s="76"/>
      <c r="O14" s="76"/>
      <c r="P14" s="76"/>
      <c r="Q14" s="76"/>
      <c r="R14" s="76"/>
      <c r="S14" s="76"/>
      <c r="T14" s="76"/>
      <c r="U14" s="76"/>
      <c r="V14" s="76"/>
      <c r="W14" s="76"/>
      <c r="X14" s="76"/>
      <c r="Y14" s="76"/>
      <c r="Z14" s="76"/>
      <c r="AA14" s="76"/>
      <c r="AB14" s="76"/>
      <c r="AC14" s="76"/>
      <c r="AD14" s="76"/>
      <c r="AE14" s="76"/>
      <c r="AF14" s="76"/>
      <c r="AG14" s="77"/>
    </row>
    <row r="15" spans="1:33" ht="15" x14ac:dyDescent="0.2">
      <c r="A15" s="59"/>
      <c r="B15" s="72"/>
      <c r="C15" s="72"/>
      <c r="D15" s="72"/>
      <c r="E15" s="72"/>
      <c r="F15" s="73"/>
      <c r="G15" s="74"/>
      <c r="H15" s="74"/>
      <c r="I15" s="74"/>
      <c r="J15" s="74"/>
      <c r="K15" s="75"/>
      <c r="L15" s="75"/>
      <c r="M15" s="75"/>
      <c r="N15" s="76"/>
      <c r="O15" s="76"/>
      <c r="P15" s="76"/>
      <c r="Q15" s="76"/>
      <c r="R15" s="76"/>
      <c r="S15" s="76"/>
      <c r="T15" s="76"/>
      <c r="U15" s="76"/>
      <c r="V15" s="76"/>
      <c r="W15" s="76"/>
      <c r="X15" s="76"/>
      <c r="Y15" s="76"/>
      <c r="Z15" s="76"/>
      <c r="AA15" s="76"/>
      <c r="AB15" s="76"/>
      <c r="AC15" s="76"/>
      <c r="AD15" s="76"/>
      <c r="AE15" s="76"/>
      <c r="AF15" s="76"/>
      <c r="AG15" s="77"/>
    </row>
    <row r="16" spans="1:33" ht="15.75" thickBot="1" x14ac:dyDescent="0.25">
      <c r="A16" s="59"/>
      <c r="B16" s="72"/>
      <c r="C16" s="72"/>
      <c r="D16" s="72"/>
      <c r="E16" s="72"/>
      <c r="F16" s="73"/>
      <c r="G16" s="74"/>
      <c r="H16" s="74"/>
      <c r="I16" s="74"/>
      <c r="J16" s="74"/>
      <c r="K16" s="75"/>
      <c r="L16" s="75"/>
      <c r="M16" s="75"/>
      <c r="N16" s="76"/>
      <c r="O16" s="76"/>
      <c r="P16" s="76"/>
      <c r="Q16" s="76"/>
      <c r="R16" s="76"/>
      <c r="S16" s="76"/>
      <c r="T16" s="76"/>
      <c r="U16" s="76"/>
      <c r="V16" s="76"/>
      <c r="W16" s="76"/>
      <c r="X16" s="76"/>
      <c r="Y16" s="76"/>
      <c r="Z16" s="76"/>
      <c r="AA16" s="72"/>
      <c r="AB16" s="72"/>
      <c r="AC16" s="72"/>
      <c r="AD16" s="72"/>
      <c r="AE16" s="72"/>
      <c r="AF16" s="72"/>
      <c r="AG16" s="93"/>
    </row>
    <row r="17" spans="1:33" s="83" customFormat="1" ht="15.75" x14ac:dyDescent="0.25">
      <c r="A17" s="82"/>
      <c r="B17" s="97" t="s">
        <v>144</v>
      </c>
      <c r="C17" s="97" t="s">
        <v>10</v>
      </c>
      <c r="D17" s="97" t="s">
        <v>148</v>
      </c>
      <c r="E17" s="97" t="s">
        <v>147</v>
      </c>
      <c r="F17" s="98" t="s">
        <v>145</v>
      </c>
      <c r="G17" s="99" t="s">
        <v>149</v>
      </c>
      <c r="H17" s="99" t="s">
        <v>180</v>
      </c>
      <c r="I17" s="99" t="s">
        <v>181</v>
      </c>
      <c r="J17" s="221" t="s">
        <v>190</v>
      </c>
      <c r="K17" s="100" t="s">
        <v>150</v>
      </c>
      <c r="L17" s="100" t="s">
        <v>152</v>
      </c>
      <c r="M17" s="100" t="s">
        <v>153</v>
      </c>
      <c r="N17" s="101" t="s">
        <v>185</v>
      </c>
      <c r="O17" s="101" t="str">
        <f>IF(Template!H30 = "","Total Sand",Template!H30)</f>
        <v>Total Sand</v>
      </c>
      <c r="P17" s="101" t="str">
        <f>IF(Template!H35 = "","Total Sand",Template!H35)</f>
        <v>Total Sand</v>
      </c>
      <c r="Q17" s="101" t="str">
        <f>IF(Template!H40 = "","Total Sand",Template!H40)</f>
        <v>Total Sand</v>
      </c>
      <c r="R17" s="101" t="s">
        <v>155</v>
      </c>
      <c r="S17" s="97" t="s">
        <v>158</v>
      </c>
      <c r="T17" s="97" t="s">
        <v>193</v>
      </c>
      <c r="U17" s="97" t="s">
        <v>194</v>
      </c>
      <c r="V17" s="97" t="s">
        <v>196</v>
      </c>
      <c r="W17" s="101" t="s">
        <v>191</v>
      </c>
      <c r="X17" s="101" t="s">
        <v>162</v>
      </c>
      <c r="Y17" s="101" t="s">
        <v>163</v>
      </c>
      <c r="Z17" s="101" t="s">
        <v>168</v>
      </c>
      <c r="AA17" s="97" t="s">
        <v>102</v>
      </c>
      <c r="AB17" s="97" t="s">
        <v>169</v>
      </c>
      <c r="AC17" s="97" t="s">
        <v>103</v>
      </c>
      <c r="AD17" s="97" t="s">
        <v>170</v>
      </c>
      <c r="AE17" s="97" t="s">
        <v>165</v>
      </c>
      <c r="AF17" s="97" t="s">
        <v>197</v>
      </c>
      <c r="AG17" s="94"/>
    </row>
    <row r="18" spans="1:33" s="83" customFormat="1" ht="16.5" thickBot="1" x14ac:dyDescent="0.3">
      <c r="A18" s="82"/>
      <c r="B18" s="102" t="s">
        <v>157</v>
      </c>
      <c r="C18" s="103" t="s">
        <v>156</v>
      </c>
      <c r="D18" s="104" t="s">
        <v>146</v>
      </c>
      <c r="E18" s="105" t="s">
        <v>146</v>
      </c>
      <c r="F18" s="105" t="s">
        <v>146</v>
      </c>
      <c r="G18" s="105" t="s">
        <v>146</v>
      </c>
      <c r="H18" s="105" t="s">
        <v>146</v>
      </c>
      <c r="I18" s="105" t="s">
        <v>146</v>
      </c>
      <c r="J18" s="105" t="s">
        <v>146</v>
      </c>
      <c r="K18" s="106" t="s">
        <v>151</v>
      </c>
      <c r="L18" s="106" t="s">
        <v>151</v>
      </c>
      <c r="M18" s="106" t="s">
        <v>98</v>
      </c>
      <c r="N18" s="106" t="s">
        <v>98</v>
      </c>
      <c r="O18" s="106" t="s">
        <v>154</v>
      </c>
      <c r="P18" s="106" t="s">
        <v>154</v>
      </c>
      <c r="Q18" s="106" t="s">
        <v>154</v>
      </c>
      <c r="R18" s="106" t="s">
        <v>98</v>
      </c>
      <c r="S18" s="106" t="s">
        <v>159</v>
      </c>
      <c r="T18" s="106" t="s">
        <v>195</v>
      </c>
      <c r="U18" s="106" t="s">
        <v>195</v>
      </c>
      <c r="V18" s="106" t="s">
        <v>143</v>
      </c>
      <c r="W18" s="106" t="s">
        <v>161</v>
      </c>
      <c r="X18" s="106" t="s">
        <v>143</v>
      </c>
      <c r="Y18" s="106" t="s">
        <v>164</v>
      </c>
      <c r="Z18" s="106" t="s">
        <v>98</v>
      </c>
      <c r="AA18" s="102" t="s">
        <v>164</v>
      </c>
      <c r="AB18" s="102" t="s">
        <v>98</v>
      </c>
      <c r="AC18" s="102" t="s">
        <v>164</v>
      </c>
      <c r="AD18" s="102" t="s">
        <v>98</v>
      </c>
      <c r="AE18" s="102" t="s">
        <v>166</v>
      </c>
      <c r="AF18" s="102" t="s">
        <v>98</v>
      </c>
      <c r="AG18" s="94"/>
    </row>
    <row r="19" spans="1:33" s="88" customFormat="1" ht="15" x14ac:dyDescent="0.2">
      <c r="A19" s="59"/>
      <c r="B19" s="112">
        <f>IF('Well A Stage 1'!H11="","",'Well A Stage 1'!H11)</f>
        <v>1</v>
      </c>
      <c r="C19" s="119" t="str">
        <f>IF('Well A Stage 1'!C8="","",'Well A Stage 1'!C8)</f>
        <v/>
      </c>
      <c r="D19" s="137" t="str">
        <f>IF('Well A Stage 1'!H49="","",'Well A Stage 1'!H49)</f>
        <v/>
      </c>
      <c r="E19" s="137" t="str">
        <f>IF('Well A Stage 1'!H50="","",'Well A Stage 1'!H50)</f>
        <v/>
      </c>
      <c r="F19" s="137" t="str">
        <f>IF('Well A Stage 1'!D28="","",'Well A Stage 1'!D28)</f>
        <v/>
      </c>
      <c r="G19" s="137" t="str">
        <f>IF('Well A Stage 1'!D30="","",'Well A Stage 1'!D30)</f>
        <v/>
      </c>
      <c r="H19" s="137" t="str">
        <f>IF('Well A Stage 1'!K49="","",'Well A Stage 1'!K49)</f>
        <v/>
      </c>
      <c r="I19" s="137" t="str">
        <f>IF('Well A Stage 1'!K50="","",'Well A Stage 1'!K50)</f>
        <v/>
      </c>
      <c r="J19" s="138" t="str">
        <f>IF(OR(H19="",G19=""),"",H19-G19)</f>
        <v/>
      </c>
      <c r="K19" s="140" t="str">
        <f>IF('Well A Stage 1'!D49="","",'Well A Stage 1'!D29)</f>
        <v/>
      </c>
      <c r="L19" s="140" t="str">
        <f>IF('Well A Stage 1'!D31="","",'Well A Stage 1'!D31)</f>
        <v/>
      </c>
      <c r="M19" s="143" t="str">
        <f>IF('Well A Stage 1'!L31="","",'Well A Stage 1'!L31)</f>
        <v/>
      </c>
      <c r="N19" s="143" t="str">
        <f>IF('Well A Stage 1'!L32="","",'Well A Stage 1'!L32)</f>
        <v/>
      </c>
      <c r="O19" s="143" t="str">
        <f>IF('Well A Stage 1'!L33="","",'Well A Stage 1'!L33)</f>
        <v/>
      </c>
      <c r="P19" s="143" t="str">
        <f>IF('Well A Stage 1'!L34="","",'Well A Stage 1'!L34)</f>
        <v/>
      </c>
      <c r="Q19" s="143" t="str">
        <f>IF('Well A Stage 1'!L35="","",'Well A Stage 1'!L35)</f>
        <v/>
      </c>
      <c r="R19" s="143" t="str">
        <f>IF('Well A Stage 1'!L37="","",'Well A Stage 1'!L37)</f>
        <v/>
      </c>
      <c r="S19" s="146" t="str">
        <f>IF('Well A Stage 1'!E21="","",'Well A Stage 1'!E21)</f>
        <v/>
      </c>
      <c r="T19" s="146" t="str">
        <f>IF('Well A Stage 1'!E19="","",'Well A Stage 1'!E19)</f>
        <v/>
      </c>
      <c r="U19" s="146" t="str">
        <f>IF('Well A Stage 1'!E20="","",'Well A Stage 1'!E20)</f>
        <v/>
      </c>
      <c r="V19" s="146" t="str">
        <f>IF('Well A Stage 1'!H20="","",'Well A Stage 1'!H20)</f>
        <v/>
      </c>
      <c r="W19" s="113" t="str">
        <f>IF('Well A Stage 1'!K13="","",'Well A Stage 1'!K13)</f>
        <v/>
      </c>
      <c r="X19" s="113" t="str">
        <f>IF('Well A Stage 1'!E22="","",'Well A Stage 1'!E22)</f>
        <v/>
      </c>
      <c r="Y19" s="113" t="str">
        <f>IF('Well A Stage 1'!C40="","",'Well A Stage 1'!C40)</f>
        <v/>
      </c>
      <c r="Z19" s="143" t="str">
        <f>IF('Well A Stage 1'!D40="","",'Well A Stage 1'!D40)</f>
        <v/>
      </c>
      <c r="AA19" s="112" t="str">
        <f>IF('Well A Stage 1'!C41="","",'Well A Stage 1'!C41)</f>
        <v/>
      </c>
      <c r="AB19" s="143" t="str">
        <f>IF('Well A Stage 1'!D41="","",'Well A Stage 1'!D41)</f>
        <v/>
      </c>
      <c r="AC19" s="112" t="str">
        <f>IF('Well A Stage 1'!C42="","",'Well A Stage 1'!C42)</f>
        <v/>
      </c>
      <c r="AD19" s="143" t="str">
        <f>IF('Well A Stage 1'!D42="","",'Well A Stage 1'!D42)</f>
        <v/>
      </c>
      <c r="AE19" s="143" t="str">
        <f>IF('Well A Stage 1'!H12="","",'Well A Stage 1'!H12)</f>
        <v/>
      </c>
      <c r="AF19" s="112" t="str">
        <f>IF('Well A Stage 1'!L38="","",'Well A Stage 1'!L38)</f>
        <v/>
      </c>
      <c r="AG19" s="60"/>
    </row>
    <row r="20" spans="1:33" s="88" customFormat="1" ht="15.75" customHeight="1" x14ac:dyDescent="0.2">
      <c r="A20" s="59"/>
      <c r="B20" s="114">
        <f>IF('Well A Stage 2'!H11="","",'Well A Stage 2'!H11)</f>
        <v>2</v>
      </c>
      <c r="C20" s="120" t="str">
        <f>IF('Well A Stage 2'!C8="","",'Well A Stage 2'!C8)</f>
        <v/>
      </c>
      <c r="D20" s="138" t="str">
        <f>IF('Well A Stage 2'!H49="","",'Well A Stage 2'!H49)</f>
        <v/>
      </c>
      <c r="E20" s="138" t="str">
        <f>IF('Well A Stage 2'!H50="","",'Well A Stage 2'!H50)</f>
        <v/>
      </c>
      <c r="F20" s="138" t="str">
        <f>IF('Well A Stage 2'!D28="","",'Well A Stage 2'!D28)</f>
        <v/>
      </c>
      <c r="G20" s="138" t="str">
        <f>IF('Well A Stage 2'!D30="","",'Well A Stage 2'!D30)</f>
        <v/>
      </c>
      <c r="H20" s="138" t="str">
        <f>IF('Well A Stage 2'!K49="","",'Well A Stage 2'!K49)</f>
        <v/>
      </c>
      <c r="I20" s="138" t="str">
        <f>IF('Well A Stage 2'!K50="","",'Well A Stage 2'!K50)</f>
        <v/>
      </c>
      <c r="J20" s="138" t="str">
        <f>IF(OR(H20="",G20=""),"",H20-G20)</f>
        <v/>
      </c>
      <c r="K20" s="141" t="str">
        <f>IF('Well A Stage 2'!D49="","",'Well A Stage 2'!D29)</f>
        <v/>
      </c>
      <c r="L20" s="141" t="str">
        <f>IF('Well A Stage 2'!D31="","",'Well A Stage 2'!D31)</f>
        <v/>
      </c>
      <c r="M20" s="144" t="str">
        <f>IF('Well A Stage 2'!L31="","",'Well A Stage 2'!L31)</f>
        <v/>
      </c>
      <c r="N20" s="144" t="str">
        <f>IF('Well A Stage 2'!L32="","",'Well A Stage 2'!L32)</f>
        <v/>
      </c>
      <c r="O20" s="144" t="str">
        <f>IF('Well A Stage 2'!L33="","",'Well A Stage 2'!L33)</f>
        <v/>
      </c>
      <c r="P20" s="144" t="str">
        <f>IF('Well A Stage 2'!L34="","",'Well A Stage 2'!L34)</f>
        <v/>
      </c>
      <c r="Q20" s="144" t="str">
        <f>IF('Well A Stage 2'!L35="","",'Well A Stage 2'!L35)</f>
        <v/>
      </c>
      <c r="R20" s="144" t="str">
        <f>IF('Well A Stage 2'!L37="","",'Well A Stage 2'!L37)</f>
        <v/>
      </c>
      <c r="S20" s="147" t="str">
        <f>IF('Well A Stage 2'!E21="","",'Well A Stage 2'!E21)</f>
        <v/>
      </c>
      <c r="T20" s="147" t="str">
        <f>IF('Well A Stage 2'!E19="","",'Well A Stage 2'!E19)</f>
        <v/>
      </c>
      <c r="U20" s="147" t="str">
        <f>IF('Well A Stage 2'!E20="","",'Well A Stage 2'!E20)</f>
        <v/>
      </c>
      <c r="V20" s="147" t="str">
        <f>IF('Well A Stage 2'!H20="","",'Well A Stage 2'!H20)</f>
        <v/>
      </c>
      <c r="W20" s="115" t="str">
        <f>IF('Well A Stage 2'!K13="","",'Well A Stage 2'!K13)</f>
        <v/>
      </c>
      <c r="X20" s="115" t="str">
        <f>IF('Well A Stage 2'!E22="","",'Well A Stage 2'!E22)</f>
        <v/>
      </c>
      <c r="Y20" s="115" t="str">
        <f>IF('Well A Stage 2'!C40="","",'Well A Stage 2'!C40)</f>
        <v/>
      </c>
      <c r="Z20" s="144" t="str">
        <f>IF('Well A Stage 2'!D40="","",'Well A Stage 2'!D40)</f>
        <v/>
      </c>
      <c r="AA20" s="114" t="str">
        <f>IF('Well A Stage 2'!C41="","",'Well A Stage 2'!C41)</f>
        <v/>
      </c>
      <c r="AB20" s="144" t="str">
        <f>IF('Well A Stage 2'!D41="","",'Well A Stage 2'!D41)</f>
        <v/>
      </c>
      <c r="AC20" s="114" t="str">
        <f>IF('Well A Stage 2'!C42="","",'Well A Stage 2'!C42)</f>
        <v/>
      </c>
      <c r="AD20" s="144" t="str">
        <f>IF('Well A Stage 2'!D42="","",'Well A Stage 2'!D42)</f>
        <v/>
      </c>
      <c r="AE20" s="144" t="str">
        <f>IF('Well A Stage 2'!H12="","",'Well A Stage 2'!H12)</f>
        <v/>
      </c>
      <c r="AF20" s="114" t="str">
        <f>IF('Well A Stage 2'!L38="","",'Well A Stage 2'!L38)</f>
        <v/>
      </c>
      <c r="AG20" s="60"/>
    </row>
    <row r="21" spans="1:33" s="88" customFormat="1" ht="15" x14ac:dyDescent="0.2">
      <c r="A21" s="59"/>
      <c r="B21" s="114">
        <f>IF('Well A Stage 3'!H11="","",'Well A Stage 3'!H11)</f>
        <v>3</v>
      </c>
      <c r="C21" s="114" t="str">
        <f>IF('Well A Stage 3'!C8="","",'Well A Stage 3'!C8)</f>
        <v/>
      </c>
      <c r="D21" s="138" t="str">
        <f>IF('Well A Stage 3'!H49="","",'Well A Stage 3'!H49)</f>
        <v/>
      </c>
      <c r="E21" s="138" t="str">
        <f>IF('Well A Stage 3'!H50="","",'Well A Stage 3'!H50)</f>
        <v/>
      </c>
      <c r="F21" s="138" t="str">
        <f>IF('Well A Stage 3'!D28="","",'Well A Stage 3'!D28)</f>
        <v/>
      </c>
      <c r="G21" s="138" t="str">
        <f>IF('Well A Stage 3'!D30="","",'Well A Stage 3'!D30)</f>
        <v/>
      </c>
      <c r="H21" s="138" t="str">
        <f>IF('Well A Stage 3'!K49="","",'Well A Stage 3'!K49)</f>
        <v/>
      </c>
      <c r="I21" s="138" t="str">
        <f>IF('Well A Stage 3'!K50="","",'Well A Stage 3'!K50)</f>
        <v/>
      </c>
      <c r="J21" s="138" t="str">
        <f t="shared" ref="J21:J84" si="0">IF(OR(H21="",G21=""),"",H21-G21)</f>
        <v/>
      </c>
      <c r="K21" s="141" t="str">
        <f>IF('Well A Stage 3'!D49="","",'Well A Stage 3'!D29)</f>
        <v/>
      </c>
      <c r="L21" s="141" t="str">
        <f>IF('Well A Stage 3'!D31="","",'Well A Stage 3'!D31)</f>
        <v/>
      </c>
      <c r="M21" s="144" t="str">
        <f>IF('Well A Stage 3'!L31="","",'Well A Stage 3'!L31)</f>
        <v/>
      </c>
      <c r="N21" s="144" t="str">
        <f>IF('Well A Stage 3'!L32="","",'Well A Stage 3'!L32)</f>
        <v/>
      </c>
      <c r="O21" s="144" t="str">
        <f>IF('Well A Stage 3'!L33="","",'Well A Stage 3'!L33)</f>
        <v/>
      </c>
      <c r="P21" s="144" t="str">
        <f>IF('Well A Stage 3'!L34="","",'Well A Stage 3'!L34)</f>
        <v/>
      </c>
      <c r="Q21" s="144" t="str">
        <f>IF('Well A Stage 3'!L35="","",'Well A Stage 3'!L35)</f>
        <v/>
      </c>
      <c r="R21" s="144" t="str">
        <f>IF('Well A Stage 3'!L37="","",'Well A Stage 3'!L37)</f>
        <v/>
      </c>
      <c r="S21" s="147" t="str">
        <f>IF('Well A Stage 3'!E21="","",'Well A Stage 3'!E21)</f>
        <v/>
      </c>
      <c r="T21" s="147" t="str">
        <f>IF('Well A Stage 3'!E19="","",'Well A Stage 3'!E19)</f>
        <v/>
      </c>
      <c r="U21" s="147" t="str">
        <f>IF('Well A Stage 3'!E20="","",'Well A Stage 3'!E20)</f>
        <v/>
      </c>
      <c r="V21" s="147" t="str">
        <f>IF('Well A Stage 3'!H20="","",'Well A Stage 3'!H20)</f>
        <v/>
      </c>
      <c r="W21" s="115" t="str">
        <f>IF('Well A Stage 3'!K13="","",'Well A Stage 3'!K13)</f>
        <v/>
      </c>
      <c r="X21" s="115" t="str">
        <f>IF('Well A Stage 3'!E22="","",'Well A Stage 3'!E22)</f>
        <v/>
      </c>
      <c r="Y21" s="115" t="str">
        <f>IF('Well A Stage 3'!C40="","",'Well A Stage 3'!C40)</f>
        <v/>
      </c>
      <c r="Z21" s="144" t="str">
        <f>IF('Well A Stage 3'!D40="","",'Well A Stage 3'!D40)</f>
        <v/>
      </c>
      <c r="AA21" s="114" t="str">
        <f>IF('Well A Stage 3'!C41="","",'Well A Stage 3'!C41)</f>
        <v/>
      </c>
      <c r="AB21" s="144" t="str">
        <f>IF('Well A Stage 3'!D41="","",'Well A Stage 3'!D41)</f>
        <v/>
      </c>
      <c r="AC21" s="114" t="str">
        <f>IF('Well A Stage 3'!C42="","",'Well A Stage 3'!C42)</f>
        <v/>
      </c>
      <c r="AD21" s="144" t="str">
        <f>IF('Well A Stage 3'!D42="","",'Well A Stage 3'!D42)</f>
        <v/>
      </c>
      <c r="AE21" s="144" t="str">
        <f>IF('Well A Stage 3'!H12="","",'Well A Stage 3'!H12)</f>
        <v/>
      </c>
      <c r="AF21" s="114" t="str">
        <f>IF('Well A Stage 3'!L38="","",'Well A Stage 3'!L38)</f>
        <v/>
      </c>
      <c r="AG21" s="60"/>
    </row>
    <row r="22" spans="1:33" s="88" customFormat="1" ht="15" x14ac:dyDescent="0.2">
      <c r="A22" s="59"/>
      <c r="B22" s="114">
        <f>IF('Well A Stage 4'!H11="","",'Well A Stage 4'!H11)</f>
        <v>4</v>
      </c>
      <c r="C22" s="114" t="str">
        <f>IF('Well A Stage 4'!C8="","",'Well A Stage 4'!C8)</f>
        <v/>
      </c>
      <c r="D22" s="138" t="str">
        <f>IF('Well A Stage 4'!H49="","",'Well A Stage 4'!H49)</f>
        <v/>
      </c>
      <c r="E22" s="138" t="str">
        <f>IF('Well A Stage 4'!H50="","",'Well A Stage 4'!H50)</f>
        <v/>
      </c>
      <c r="F22" s="138" t="str">
        <f>IF('Well A Stage 4'!D28="","",'Well A Stage 4'!D28)</f>
        <v/>
      </c>
      <c r="G22" s="138" t="str">
        <f>IF('Well A Stage 4'!D30="","",'Well A Stage 4'!D30)</f>
        <v/>
      </c>
      <c r="H22" s="138" t="str">
        <f>IF('Well A Stage 4'!K49="","",'Well A Stage 4'!K49)</f>
        <v/>
      </c>
      <c r="I22" s="138" t="str">
        <f>IF('Well A Stage 4'!K50="","",'Well A Stage 4'!K50)</f>
        <v/>
      </c>
      <c r="J22" s="138" t="str">
        <f t="shared" si="0"/>
        <v/>
      </c>
      <c r="K22" s="141" t="str">
        <f>IF('Well A Stage 4'!D49="","",'Well A Stage 4'!D29)</f>
        <v/>
      </c>
      <c r="L22" s="141" t="str">
        <f>IF('Well A Stage 4'!D31="","",'Well A Stage 4'!D31)</f>
        <v/>
      </c>
      <c r="M22" s="144" t="str">
        <f>IF('Well A Stage 4'!L31="","",'Well A Stage 4'!L31)</f>
        <v/>
      </c>
      <c r="N22" s="144" t="str">
        <f>IF('Well A Stage 4'!L32="","",'Well A Stage 4'!L32)</f>
        <v/>
      </c>
      <c r="O22" s="144" t="str">
        <f>IF('Well A Stage 4'!L33="","",'Well A Stage 4'!L33)</f>
        <v/>
      </c>
      <c r="P22" s="144" t="str">
        <f>IF('Well A Stage 4'!L34="","",'Well A Stage 4'!L34)</f>
        <v/>
      </c>
      <c r="Q22" s="144" t="str">
        <f>IF('Well A Stage 4'!L35="","",'Well A Stage 4'!L35)</f>
        <v/>
      </c>
      <c r="R22" s="144" t="str">
        <f>IF('Well A Stage 4'!L37="","",'Well A Stage 4'!L37)</f>
        <v/>
      </c>
      <c r="S22" s="147" t="str">
        <f>IF('Well A Stage 4'!E21="","",'Well A Stage 4'!E21)</f>
        <v/>
      </c>
      <c r="T22" s="147" t="str">
        <f>IF('Well A Stage 4'!E19="","",'Well A Stage 4'!E19)</f>
        <v/>
      </c>
      <c r="U22" s="147" t="str">
        <f>IF('Well A Stage 4'!E20="","",'Well A Stage 4'!E20)</f>
        <v/>
      </c>
      <c r="V22" s="147" t="str">
        <f>IF('Well A Stage 4'!H20="","",'Well A Stage 4'!H20)</f>
        <v/>
      </c>
      <c r="W22" s="115" t="str">
        <f>IF('Well A Stage 4'!K13="","",'Well A Stage 4'!K13)</f>
        <v/>
      </c>
      <c r="X22" s="115" t="str">
        <f>IF('Well A Stage 4'!E22="","",'Well A Stage 4'!E22)</f>
        <v/>
      </c>
      <c r="Y22" s="115" t="str">
        <f>IF('Well A Stage 4'!C40="","",'Well A Stage 4'!C40)</f>
        <v/>
      </c>
      <c r="Z22" s="144" t="str">
        <f>IF('Well A Stage 4'!D40="","",'Well A Stage 4'!D40)</f>
        <v/>
      </c>
      <c r="AA22" s="114" t="str">
        <f>IF('Well A Stage 4'!C41="","",'Well A Stage 4'!C41)</f>
        <v/>
      </c>
      <c r="AB22" s="144" t="str">
        <f>IF('Well A Stage 4'!D41="","",'Well A Stage 4'!D41)</f>
        <v/>
      </c>
      <c r="AC22" s="114" t="str">
        <f>IF('Well A Stage 4'!C42="","",'Well A Stage 4'!C42)</f>
        <v/>
      </c>
      <c r="AD22" s="144" t="str">
        <f>IF('Well A Stage 4'!D42="","",'Well A Stage 4'!D42)</f>
        <v/>
      </c>
      <c r="AE22" s="144" t="str">
        <f>IF('Well A Stage 4'!H12="","",'Well A Stage 4'!H12)</f>
        <v/>
      </c>
      <c r="AF22" s="114" t="str">
        <f>IF('Well A Stage 4'!L38="","",'Well A Stage 4'!L38)</f>
        <v/>
      </c>
      <c r="AG22" s="60"/>
    </row>
    <row r="23" spans="1:33" s="88" customFormat="1" ht="15" x14ac:dyDescent="0.2">
      <c r="A23" s="59"/>
      <c r="B23" s="114">
        <f>IF('Well A Stage 5'!H11="","",'Well A Stage 5'!H11)</f>
        <v>5</v>
      </c>
      <c r="C23" s="114" t="str">
        <f>IF('Well A Stage 5'!C8="","",'Well A Stage 5'!C8)</f>
        <v/>
      </c>
      <c r="D23" s="138" t="str">
        <f>IF('Well A Stage 5'!H49="","",'Well A Stage 5'!H49)</f>
        <v/>
      </c>
      <c r="E23" s="138" t="str">
        <f>IF('Well A Stage 5'!H50="","",'Well A Stage 5'!H50)</f>
        <v/>
      </c>
      <c r="F23" s="138" t="str">
        <f>IF('Well A Stage 5'!D28="","",'Well A Stage 5'!D28)</f>
        <v/>
      </c>
      <c r="G23" s="138" t="str">
        <f>IF('Well A Stage 5'!D30="","",'Well A Stage 5'!D30)</f>
        <v/>
      </c>
      <c r="H23" s="138" t="str">
        <f>IF('Well A Stage 5'!K49="","",'Well A Stage 5'!K49)</f>
        <v/>
      </c>
      <c r="I23" s="138" t="str">
        <f>IF('Well A Stage 5'!K50="","",'Well A Stage 5'!K50)</f>
        <v/>
      </c>
      <c r="J23" s="138" t="str">
        <f t="shared" si="0"/>
        <v/>
      </c>
      <c r="K23" s="141" t="str">
        <f>IF('Well A Stage 5'!D49="","",'Well A Stage 5'!D29)</f>
        <v/>
      </c>
      <c r="L23" s="141" t="str">
        <f>IF('Well A Stage 5'!D31="","",'Well A Stage 5'!D31)</f>
        <v/>
      </c>
      <c r="M23" s="144" t="str">
        <f>IF('Well A Stage 5'!L31="","",'Well A Stage 5'!L31)</f>
        <v/>
      </c>
      <c r="N23" s="144" t="str">
        <f>IF('Well A Stage 5'!L32="","",'Well A Stage 5'!L32)</f>
        <v/>
      </c>
      <c r="O23" s="144" t="str">
        <f>IF('Well A Stage 5'!L33="","",'Well A Stage 5'!L33)</f>
        <v/>
      </c>
      <c r="P23" s="144" t="str">
        <f>IF('Well A Stage 5'!L34="","",'Well A Stage 5'!L34)</f>
        <v/>
      </c>
      <c r="Q23" s="144" t="str">
        <f>IF('Well A Stage 5'!L35="","",'Well A Stage 5'!L35)</f>
        <v/>
      </c>
      <c r="R23" s="144" t="str">
        <f>IF('Well A Stage 5'!L37="","",'Well A Stage 5'!L37)</f>
        <v/>
      </c>
      <c r="S23" s="147" t="str">
        <f>IF('Well A Stage 5'!E21="","",'Well A Stage 5'!E21)</f>
        <v/>
      </c>
      <c r="T23" s="147" t="str">
        <f>IF('Well A Stage 5'!E19="","",'Well A Stage 5'!E19)</f>
        <v/>
      </c>
      <c r="U23" s="147" t="str">
        <f>IF('Well A Stage 5'!E20="","",'Well A Stage 5'!E20)</f>
        <v/>
      </c>
      <c r="V23" s="147" t="str">
        <f>IF('Well A Stage 5'!H20="","",'Well A Stage 5'!H20)</f>
        <v/>
      </c>
      <c r="W23" s="115" t="str">
        <f>IF('Well A Stage 5'!K13="","",'Well A Stage 5'!K13)</f>
        <v/>
      </c>
      <c r="X23" s="115" t="str">
        <f>IF('Well A Stage 5'!E22="","",'Well A Stage 5'!E22)</f>
        <v/>
      </c>
      <c r="Y23" s="115" t="str">
        <f>IF('Well A Stage 5'!C40="","",'Well A Stage 5'!C40)</f>
        <v/>
      </c>
      <c r="Z23" s="144" t="str">
        <f>IF('Well A Stage 5'!D40="","",'Well A Stage 5'!D40)</f>
        <v/>
      </c>
      <c r="AA23" s="114" t="str">
        <f>IF('Well A Stage 5'!C41="","",'Well A Stage 5'!C41)</f>
        <v/>
      </c>
      <c r="AB23" s="144" t="str">
        <f>IF('Well A Stage 5'!D41="","",'Well A Stage 5'!D41)</f>
        <v/>
      </c>
      <c r="AC23" s="114" t="str">
        <f>IF('Well A Stage 5'!C42="","",'Well A Stage 5'!C42)</f>
        <v/>
      </c>
      <c r="AD23" s="144" t="str">
        <f>IF('Well A Stage 5'!D42="","",'Well A Stage 5'!D42)</f>
        <v/>
      </c>
      <c r="AE23" s="144" t="str">
        <f>IF('Well A Stage 5'!H12="","",'Well A Stage 5'!H12)</f>
        <v/>
      </c>
      <c r="AF23" s="114" t="str">
        <f>IF('Well A Stage 5'!L38="","",'Well A Stage 5'!L38)</f>
        <v/>
      </c>
      <c r="AG23" s="60"/>
    </row>
    <row r="24" spans="1:33" s="88" customFormat="1" ht="15" x14ac:dyDescent="0.2">
      <c r="A24" s="59"/>
      <c r="B24" s="114">
        <f>IF('Well A Stage 6'!H11="","",'Well A Stage 6'!H11)</f>
        <v>6</v>
      </c>
      <c r="C24" s="114" t="str">
        <f>IF('Well A Stage 6'!C8="","",'Well A Stage 6'!C8)</f>
        <v/>
      </c>
      <c r="D24" s="138" t="str">
        <f>IF('Well A Stage 6'!H49="","",'Well A Stage 6'!H49)</f>
        <v/>
      </c>
      <c r="E24" s="138" t="str">
        <f>IF('Well A Stage 6'!H50="","",'Well A Stage 6'!H50)</f>
        <v/>
      </c>
      <c r="F24" s="138" t="str">
        <f>IF('Well A Stage 6'!D28="","",'Well A Stage 6'!D28)</f>
        <v/>
      </c>
      <c r="G24" s="138" t="str">
        <f>IF('Well A Stage 6'!D30="","",'Well A Stage 6'!D30)</f>
        <v/>
      </c>
      <c r="H24" s="138" t="str">
        <f>IF('Well A Stage 6'!K49="","",'Well A Stage 6'!K49)</f>
        <v/>
      </c>
      <c r="I24" s="138" t="str">
        <f>IF('Well A Stage 6'!K50="","",'Well A Stage 6'!K50)</f>
        <v/>
      </c>
      <c r="J24" s="138" t="str">
        <f t="shared" si="0"/>
        <v/>
      </c>
      <c r="K24" s="141" t="str">
        <f>IF('Well A Stage 6'!D49="","",'Well A Stage 6'!D29)</f>
        <v/>
      </c>
      <c r="L24" s="141" t="str">
        <f>IF('Well A Stage 6'!D31="","",'Well A Stage 6'!D31)</f>
        <v/>
      </c>
      <c r="M24" s="144" t="str">
        <f>IF('Well A Stage 6'!L31="","",'Well A Stage 6'!L31)</f>
        <v/>
      </c>
      <c r="N24" s="144" t="str">
        <f>IF('Well A Stage 6'!L32="","",'Well A Stage 6'!L32)</f>
        <v/>
      </c>
      <c r="O24" s="144" t="str">
        <f>IF('Well A Stage 6'!L33="","",'Well A Stage 6'!L33)</f>
        <v/>
      </c>
      <c r="P24" s="144" t="str">
        <f>IF('Well A Stage 6'!L34="","",'Well A Stage 6'!L34)</f>
        <v/>
      </c>
      <c r="Q24" s="144" t="str">
        <f>IF('Well A Stage 6'!L35="","",'Well A Stage 6'!L35)</f>
        <v/>
      </c>
      <c r="R24" s="144" t="str">
        <f>IF('Well A Stage 6'!L37="","",'Well A Stage 6'!L37)</f>
        <v/>
      </c>
      <c r="S24" s="147" t="str">
        <f>IF('Well A Stage 6'!E21="","",'Well A Stage 6'!E21)</f>
        <v/>
      </c>
      <c r="T24" s="147" t="str">
        <f>IF('Well A Stage 6'!E19="","",'Well A Stage 6'!E19)</f>
        <v/>
      </c>
      <c r="U24" s="147" t="str">
        <f>IF('Well A Stage 6'!E20="","",'Well A Stage 6'!E20)</f>
        <v/>
      </c>
      <c r="V24" s="147" t="str">
        <f>IF('Well A Stage 6'!H20="","",'Well A Stage 6'!H20)</f>
        <v/>
      </c>
      <c r="W24" s="115" t="str">
        <f>IF('Well A Stage 6'!K13="","",'Well A Stage 6'!K13)</f>
        <v/>
      </c>
      <c r="X24" s="115" t="str">
        <f>IF('Well A Stage 6'!E22="","",'Well A Stage 6'!E22)</f>
        <v/>
      </c>
      <c r="Y24" s="115" t="str">
        <f>IF('Well A Stage 6'!C40="","",'Well A Stage 6'!C40)</f>
        <v/>
      </c>
      <c r="Z24" s="144" t="str">
        <f>IF('Well A Stage 6'!D40="","",'Well A Stage 6'!D40)</f>
        <v/>
      </c>
      <c r="AA24" s="114" t="str">
        <f>IF('Well A Stage 6'!C41="","",'Well A Stage 6'!C41)</f>
        <v/>
      </c>
      <c r="AB24" s="144" t="str">
        <f>IF('Well A Stage 6'!D41="","",'Well A Stage 6'!D41)</f>
        <v/>
      </c>
      <c r="AC24" s="114" t="str">
        <f>IF('Well A Stage 6'!C42="","",'Well A Stage 6'!C42)</f>
        <v/>
      </c>
      <c r="AD24" s="144" t="str">
        <f>IF('Well A Stage 6'!D42="","",'Well A Stage 6'!D42)</f>
        <v/>
      </c>
      <c r="AE24" s="144" t="str">
        <f>IF('Well A Stage 6'!H12="","",'Well A Stage 6'!H12)</f>
        <v/>
      </c>
      <c r="AF24" s="114" t="str">
        <f>IF('Well A Stage 6'!L38="","",'Well A Stage 6'!L38)</f>
        <v/>
      </c>
      <c r="AG24" s="60"/>
    </row>
    <row r="25" spans="1:33" s="88" customFormat="1" ht="15" x14ac:dyDescent="0.2">
      <c r="A25" s="59"/>
      <c r="B25" s="114">
        <f>IF('Well A Stage 7'!H11="","",'Well A Stage 7'!H11)</f>
        <v>7</v>
      </c>
      <c r="C25" s="114" t="str">
        <f>IF('Well A Stage 7'!C8="","",'Well A Stage 7'!C8)</f>
        <v/>
      </c>
      <c r="D25" s="138" t="str">
        <f>IF('Well A Stage 7'!H49="","",'Well A Stage 7'!H49)</f>
        <v/>
      </c>
      <c r="E25" s="138" t="str">
        <f>IF('Well A Stage 7'!H50="","",'Well A Stage 7'!H50)</f>
        <v/>
      </c>
      <c r="F25" s="138" t="str">
        <f>IF('Well A Stage 7'!D28="","",'Well A Stage 7'!D28)</f>
        <v/>
      </c>
      <c r="G25" s="138" t="str">
        <f>IF('Well A Stage 7'!D30="","",'Well A Stage 7'!D30)</f>
        <v/>
      </c>
      <c r="H25" s="138" t="str">
        <f>IF('Well A Stage 7'!K49="","",'Well A Stage 7'!K49)</f>
        <v/>
      </c>
      <c r="I25" s="138" t="str">
        <f>IF('Well A Stage 7'!K50="","",'Well A Stage 7'!K50)</f>
        <v/>
      </c>
      <c r="J25" s="138" t="str">
        <f t="shared" si="0"/>
        <v/>
      </c>
      <c r="K25" s="141" t="str">
        <f>IF('Well A Stage 7'!D49="","",'Well A Stage 7'!D29)</f>
        <v/>
      </c>
      <c r="L25" s="141" t="str">
        <f>IF('Well A Stage 7'!D31="","",'Well A Stage 7'!D31)</f>
        <v/>
      </c>
      <c r="M25" s="144" t="str">
        <f>IF('Well A Stage 7'!L31="","",'Well A Stage 7'!L31)</f>
        <v/>
      </c>
      <c r="N25" s="144" t="str">
        <f>IF('Well A Stage 7'!L32="","",'Well A Stage 7'!L32)</f>
        <v/>
      </c>
      <c r="O25" s="144" t="str">
        <f>IF('Well A Stage 7'!L33="","",'Well A Stage 7'!L33)</f>
        <v/>
      </c>
      <c r="P25" s="144" t="str">
        <f>IF('Well A Stage 7'!L34="","",'Well A Stage 7'!L34)</f>
        <v/>
      </c>
      <c r="Q25" s="144" t="str">
        <f>IF('Well A Stage 7'!L35="","",'Well A Stage 7'!L35)</f>
        <v/>
      </c>
      <c r="R25" s="144" t="str">
        <f>IF('Well A Stage 7'!L37="","",'Well A Stage 7'!L37)</f>
        <v/>
      </c>
      <c r="S25" s="147" t="str">
        <f>IF('Well A Stage 7'!E21="","",'Well A Stage 7'!E21)</f>
        <v/>
      </c>
      <c r="T25" s="147" t="str">
        <f>IF('Well A Stage 7'!E19="","",'Well A Stage 7'!E19)</f>
        <v/>
      </c>
      <c r="U25" s="147" t="str">
        <f>IF('Well A Stage 7'!E20="","",'Well A Stage 7'!E20)</f>
        <v/>
      </c>
      <c r="V25" s="147" t="str">
        <f>IF('Well A Stage 7'!H20="","",'Well A Stage 7'!H20)</f>
        <v/>
      </c>
      <c r="W25" s="115" t="str">
        <f>IF('Well A Stage 7'!K13="","",'Well A Stage 7'!K13)</f>
        <v/>
      </c>
      <c r="X25" s="115" t="str">
        <f>IF('Well A Stage 7'!E22="","",'Well A Stage 7'!E22)</f>
        <v/>
      </c>
      <c r="Y25" s="115" t="str">
        <f>IF('Well A Stage 7'!C40="","",'Well A Stage 7'!C40)</f>
        <v/>
      </c>
      <c r="Z25" s="144" t="str">
        <f>IF('Well A Stage 7'!D40="","",'Well A Stage 7'!D40)</f>
        <v/>
      </c>
      <c r="AA25" s="114" t="str">
        <f>IF('Well A Stage 7'!C41="","",'Well A Stage 7'!C41)</f>
        <v/>
      </c>
      <c r="AB25" s="144" t="str">
        <f>IF('Well A Stage 7'!D41="","",'Well A Stage 7'!D41)</f>
        <v/>
      </c>
      <c r="AC25" s="114" t="str">
        <f>IF('Well A Stage 7'!C42="","",'Well A Stage 7'!C42)</f>
        <v/>
      </c>
      <c r="AD25" s="144" t="str">
        <f>IF('Well A Stage 7'!D42="","",'Well A Stage 7'!D42)</f>
        <v/>
      </c>
      <c r="AE25" s="144" t="str">
        <f>IF('Well A Stage 7'!H12="","",'Well A Stage 7'!H12)</f>
        <v/>
      </c>
      <c r="AF25" s="114" t="str">
        <f>IF('Well A Stage 7'!L38="","",'Well A Stage 7'!L38)</f>
        <v/>
      </c>
      <c r="AG25" s="60"/>
    </row>
    <row r="26" spans="1:33" s="88" customFormat="1" ht="15" x14ac:dyDescent="0.2">
      <c r="A26" s="59"/>
      <c r="B26" s="114">
        <f>IF('Well A Stage 8'!H11="","",'Well A Stage 8'!H11)</f>
        <v>8</v>
      </c>
      <c r="C26" s="114" t="str">
        <f>IF('Well A Stage 8'!C8="","",'Well A Stage 8'!C8)</f>
        <v/>
      </c>
      <c r="D26" s="138" t="str">
        <f>IF('Well A Stage 8'!H49="","",'Well A Stage 8'!H49)</f>
        <v/>
      </c>
      <c r="E26" s="138" t="str">
        <f>IF('Well A Stage 8'!H50="","",'Well A Stage 8'!H50)</f>
        <v/>
      </c>
      <c r="F26" s="138" t="str">
        <f>IF('Well A Stage 8'!D28="","",'Well A Stage 8'!D28)</f>
        <v/>
      </c>
      <c r="G26" s="138" t="str">
        <f>IF('Well A Stage 8'!D30="","",'Well A Stage 8'!D30)</f>
        <v/>
      </c>
      <c r="H26" s="138" t="str">
        <f>IF('Well A Stage 8'!K49="","",'Well A Stage 8'!K49)</f>
        <v/>
      </c>
      <c r="I26" s="138" t="str">
        <f>IF('Well A Stage 8'!K50="","",'Well A Stage 8'!K50)</f>
        <v/>
      </c>
      <c r="J26" s="138" t="str">
        <f t="shared" si="0"/>
        <v/>
      </c>
      <c r="K26" s="141" t="str">
        <f>IF('Well A Stage 8'!D49="","",'Well A Stage 8'!D29)</f>
        <v/>
      </c>
      <c r="L26" s="141" t="str">
        <f>IF('Well A Stage 8'!D31="","",'Well A Stage 8'!D31)</f>
        <v/>
      </c>
      <c r="M26" s="144" t="str">
        <f>IF('Well A Stage 8'!L31="","",'Well A Stage 8'!L31)</f>
        <v/>
      </c>
      <c r="N26" s="144" t="str">
        <f>IF('Well A Stage 8'!L32="","",'Well A Stage 8'!L32)</f>
        <v/>
      </c>
      <c r="O26" s="144" t="str">
        <f>IF('Well A Stage 8'!L33="","",'Well A Stage 8'!L33)</f>
        <v/>
      </c>
      <c r="P26" s="144" t="str">
        <f>IF('Well A Stage 8'!L34="","",'Well A Stage 8'!L34)</f>
        <v/>
      </c>
      <c r="Q26" s="144" t="str">
        <f>IF('Well A Stage 8'!L35="","",'Well A Stage 8'!L35)</f>
        <v/>
      </c>
      <c r="R26" s="144" t="str">
        <f>IF('Well A Stage 8'!L37="","",'Well A Stage 8'!L37)</f>
        <v/>
      </c>
      <c r="S26" s="147" t="str">
        <f>IF('Well A Stage 8'!E21="","",'Well A Stage 8'!E21)</f>
        <v/>
      </c>
      <c r="T26" s="147" t="str">
        <f>IF('Well A Stage 8'!E19="","",'Well A Stage 8'!E19)</f>
        <v/>
      </c>
      <c r="U26" s="147" t="str">
        <f>IF('Well A Stage 8'!E20="","",'Well A Stage 8'!E20)</f>
        <v/>
      </c>
      <c r="V26" s="147" t="str">
        <f>IF('Well A Stage 8'!H20="","",'Well A Stage 8'!H20)</f>
        <v/>
      </c>
      <c r="W26" s="115" t="str">
        <f>IF('Well A Stage 8'!K13="","",'Well A Stage 8'!K13)</f>
        <v/>
      </c>
      <c r="X26" s="115" t="str">
        <f>IF('Well A Stage 8'!E22="","",'Well A Stage 8'!E22)</f>
        <v/>
      </c>
      <c r="Y26" s="115" t="str">
        <f>IF('Well A Stage 8'!C40="","",'Well A Stage 8'!C40)</f>
        <v/>
      </c>
      <c r="Z26" s="144" t="str">
        <f>IF('Well A Stage 8'!D40="","",'Well A Stage 8'!D40)</f>
        <v/>
      </c>
      <c r="AA26" s="114" t="str">
        <f>IF('Well A Stage 8'!C41="","",'Well A Stage 8'!C41)</f>
        <v/>
      </c>
      <c r="AB26" s="144" t="str">
        <f>IF('Well A Stage 8'!D41="","",'Well A Stage 8'!D41)</f>
        <v/>
      </c>
      <c r="AC26" s="114" t="str">
        <f>IF('Well A Stage 8'!C42="","",'Well A Stage 8'!C42)</f>
        <v/>
      </c>
      <c r="AD26" s="144" t="str">
        <f>IF('Well A Stage 8'!D42="","",'Well A Stage 8'!D42)</f>
        <v/>
      </c>
      <c r="AE26" s="144" t="str">
        <f>IF('Well A Stage 8'!H12="","",'Well A Stage 8'!H12)</f>
        <v/>
      </c>
      <c r="AF26" s="114" t="str">
        <f>IF('Well A Stage 8'!L38="","",'Well A Stage 8'!L38)</f>
        <v/>
      </c>
      <c r="AG26" s="60"/>
    </row>
    <row r="27" spans="1:33" s="88" customFormat="1" ht="15" x14ac:dyDescent="0.2">
      <c r="A27" s="59"/>
      <c r="B27" s="114">
        <f>IF('Well A Stage 9'!H11="","",'Well A Stage 9'!H11)</f>
        <v>9</v>
      </c>
      <c r="C27" s="114" t="str">
        <f>IF('Well A Stage 9'!C8="","",'Well A Stage 9'!C8)</f>
        <v/>
      </c>
      <c r="D27" s="138" t="str">
        <f>IF('Well A Stage 9'!H49="","",'Well A Stage 9'!H49)</f>
        <v/>
      </c>
      <c r="E27" s="138" t="str">
        <f>IF('Well A Stage 9'!H50="","",'Well A Stage 9'!H50)</f>
        <v/>
      </c>
      <c r="F27" s="138" t="str">
        <f>IF('Well A Stage 9'!D28="","",'Well A Stage 9'!D28)</f>
        <v/>
      </c>
      <c r="G27" s="138" t="str">
        <f>IF('Well A Stage 9'!D30="","",'Well A Stage 9'!D30)</f>
        <v/>
      </c>
      <c r="H27" s="138" t="str">
        <f>IF('Well A Stage 9'!K49="","",'Well A Stage 9'!K49)</f>
        <v/>
      </c>
      <c r="I27" s="138" t="str">
        <f>IF('Well A Stage 9'!K50="","",'Well A Stage 9'!K50)</f>
        <v/>
      </c>
      <c r="J27" s="138" t="str">
        <f t="shared" si="0"/>
        <v/>
      </c>
      <c r="K27" s="141" t="str">
        <f>IF('Well A Stage 9'!D49="","",'Well A Stage 9'!D29)</f>
        <v/>
      </c>
      <c r="L27" s="141" t="str">
        <f>IF('Well A Stage 9'!D31="","",'Well A Stage 9'!D31)</f>
        <v/>
      </c>
      <c r="M27" s="144" t="str">
        <f>IF('Well A Stage 9'!L31="","",'Well A Stage 9'!L31)</f>
        <v/>
      </c>
      <c r="N27" s="144" t="str">
        <f>IF('Well A Stage 9'!L32="","",'Well A Stage 9'!L32)</f>
        <v/>
      </c>
      <c r="O27" s="144" t="str">
        <f>IF('Well A Stage 9'!L33="","",'Well A Stage 9'!L33)</f>
        <v/>
      </c>
      <c r="P27" s="144" t="str">
        <f>IF('Well A Stage 9'!L34="","",'Well A Stage 9'!L34)</f>
        <v/>
      </c>
      <c r="Q27" s="144" t="str">
        <f>IF('Well A Stage 9'!L35="","",'Well A Stage 9'!L35)</f>
        <v/>
      </c>
      <c r="R27" s="144" t="str">
        <f>IF('Well A Stage 9'!L37="","",'Well A Stage 9'!L37)</f>
        <v/>
      </c>
      <c r="S27" s="147" t="str">
        <f>IF('Well A Stage 9'!E21="","",'Well A Stage 9'!E21)</f>
        <v/>
      </c>
      <c r="T27" s="147" t="str">
        <f>IF('Well A Stage 9'!E19="","",'Well A Stage 9'!E19)</f>
        <v/>
      </c>
      <c r="U27" s="147" t="str">
        <f>IF('Well A Stage 9'!E20="","",'Well A Stage 9'!E20)</f>
        <v/>
      </c>
      <c r="V27" s="147" t="str">
        <f>IF('Well A Stage 9'!H20="","",'Well A Stage 9'!H20)</f>
        <v/>
      </c>
      <c r="W27" s="115" t="str">
        <f>IF('Well A Stage 9'!K13="","",'Well A Stage 9'!K13)</f>
        <v/>
      </c>
      <c r="X27" s="115" t="str">
        <f>IF('Well A Stage 9'!E22="","",'Well A Stage 9'!E22)</f>
        <v/>
      </c>
      <c r="Y27" s="115" t="str">
        <f>IF('Well A Stage 9'!C40="","",'Well A Stage 9'!C40)</f>
        <v/>
      </c>
      <c r="Z27" s="144" t="str">
        <f>IF('Well A Stage 9'!D40="","",'Well A Stage 9'!D40)</f>
        <v/>
      </c>
      <c r="AA27" s="114" t="str">
        <f>IF('Well A Stage 9'!C41="","",'Well A Stage 9'!C41)</f>
        <v/>
      </c>
      <c r="AB27" s="144" t="str">
        <f>IF('Well A Stage 9'!D41="","",'Well A Stage 9'!D41)</f>
        <v/>
      </c>
      <c r="AC27" s="114" t="str">
        <f>IF('Well A Stage 9'!C42="","",'Well A Stage 9'!C42)</f>
        <v/>
      </c>
      <c r="AD27" s="144" t="str">
        <f>IF('Well A Stage 9'!D42="","",'Well A Stage 9'!D42)</f>
        <v/>
      </c>
      <c r="AE27" s="144" t="str">
        <f>IF('Well A Stage 9'!H12="","",'Well A Stage 9'!H12)</f>
        <v/>
      </c>
      <c r="AF27" s="114" t="str">
        <f>IF('Well A Stage 9'!L38="","",'Well A Stage 9'!L38)</f>
        <v/>
      </c>
      <c r="AG27" s="60"/>
    </row>
    <row r="28" spans="1:33" s="88" customFormat="1" ht="15" x14ac:dyDescent="0.2">
      <c r="A28" s="59"/>
      <c r="B28" s="114">
        <f>IF('Well A Stage 10'!H11="","",'Well A Stage 10'!H11)</f>
        <v>10</v>
      </c>
      <c r="C28" s="114" t="str">
        <f>IF('Well A Stage 10'!C8="","",'Well A Stage 10'!C8)</f>
        <v/>
      </c>
      <c r="D28" s="138" t="str">
        <f>IF('Well A Stage 10'!H49="","",'Well A Stage 10'!H49)</f>
        <v/>
      </c>
      <c r="E28" s="138" t="str">
        <f>IF('Well A Stage 10'!H50="","",'Well A Stage 10'!H50)</f>
        <v/>
      </c>
      <c r="F28" s="138" t="str">
        <f>IF('Well A Stage 10'!D28="","",'Well A Stage 10'!D28)</f>
        <v/>
      </c>
      <c r="G28" s="138" t="str">
        <f>IF('Well A Stage 10'!D30="","",'Well A Stage 10'!D30)</f>
        <v/>
      </c>
      <c r="H28" s="138" t="str">
        <f>IF('Well A Stage 10'!K49="","",'Well A Stage 10'!K49)</f>
        <v/>
      </c>
      <c r="I28" s="138" t="str">
        <f>IF('Well A Stage 10'!K50="","",'Well A Stage 10'!K50)</f>
        <v/>
      </c>
      <c r="J28" s="138" t="str">
        <f t="shared" si="0"/>
        <v/>
      </c>
      <c r="K28" s="141" t="str">
        <f>IF('Well A Stage 10'!D49="","",'Well A Stage 10'!D29)</f>
        <v/>
      </c>
      <c r="L28" s="141" t="str">
        <f>IF('Well A Stage 10'!D31="","",'Well A Stage 10'!D31)</f>
        <v/>
      </c>
      <c r="M28" s="144" t="str">
        <f>IF('Well A Stage 10'!L31="","",'Well A Stage 10'!L31)</f>
        <v/>
      </c>
      <c r="N28" s="144" t="str">
        <f>IF('Well A Stage 10'!L32="","",'Well A Stage 10'!L32)</f>
        <v/>
      </c>
      <c r="O28" s="144" t="str">
        <f>IF('Well A Stage 10'!L33="","",'Well A Stage 10'!L33)</f>
        <v/>
      </c>
      <c r="P28" s="144" t="str">
        <f>IF('Well A Stage 10'!L34="","",'Well A Stage 10'!L34)</f>
        <v/>
      </c>
      <c r="Q28" s="144" t="str">
        <f>IF('Well A Stage 10'!L35="","",'Well A Stage 10'!L35)</f>
        <v/>
      </c>
      <c r="R28" s="144" t="str">
        <f>IF('Well A Stage 10'!L37="","",'Well A Stage 10'!L37)</f>
        <v/>
      </c>
      <c r="S28" s="147" t="str">
        <f>IF('Well A Stage 10'!E21="","",'Well A Stage 10'!E21)</f>
        <v/>
      </c>
      <c r="T28" s="147" t="str">
        <f>IF('Well A Stage 10'!E19="","",'Well A Stage 10'!E19)</f>
        <v/>
      </c>
      <c r="U28" s="147" t="str">
        <f>IF('Well A Stage 10'!E20="","",'Well A Stage 10'!E20)</f>
        <v/>
      </c>
      <c r="V28" s="147" t="str">
        <f>IF('Well A Stage 10'!H20="","",'Well A Stage 10'!H20)</f>
        <v/>
      </c>
      <c r="W28" s="115" t="str">
        <f>IF('Well A Stage 10'!K13="","",'Well A Stage 10'!K13)</f>
        <v/>
      </c>
      <c r="X28" s="115" t="str">
        <f>IF('Well A Stage 10'!E22="","",'Well A Stage 10'!E22)</f>
        <v/>
      </c>
      <c r="Y28" s="115" t="str">
        <f>IF('Well A Stage 10'!C40="","",'Well A Stage 10'!C40)</f>
        <v/>
      </c>
      <c r="Z28" s="144" t="str">
        <f>IF('Well A Stage 10'!D40="","",'Well A Stage 10'!D40)</f>
        <v/>
      </c>
      <c r="AA28" s="114" t="str">
        <f>IF('Well A Stage 10'!C41="","",'Well A Stage 10'!C41)</f>
        <v/>
      </c>
      <c r="AB28" s="144" t="str">
        <f>IF('Well A Stage 10'!D41="","",'Well A Stage 10'!D41)</f>
        <v/>
      </c>
      <c r="AC28" s="114" t="str">
        <f>IF('Well A Stage 10'!C42="","",'Well A Stage 10'!C42)</f>
        <v/>
      </c>
      <c r="AD28" s="144" t="str">
        <f>IF('Well A Stage 10'!D42="","",'Well A Stage 10'!D42)</f>
        <v/>
      </c>
      <c r="AE28" s="144" t="str">
        <f>IF('Well A Stage 10'!H12="","",'Well A Stage 10'!H12)</f>
        <v/>
      </c>
      <c r="AF28" s="114" t="str">
        <f>IF('Well A Stage 10'!L38="","",'Well A Stage 10'!L38)</f>
        <v/>
      </c>
      <c r="AG28" s="60"/>
    </row>
    <row r="29" spans="1:33" s="88" customFormat="1" ht="15" x14ac:dyDescent="0.2">
      <c r="A29" s="59"/>
      <c r="B29" s="114">
        <f>IF('Well A Stage 11'!H11="","",'Well A Stage 11'!H11)</f>
        <v>11</v>
      </c>
      <c r="C29" s="114" t="str">
        <f>IF('Well A Stage 11'!C8="","",'Well A Stage 11'!C8)</f>
        <v/>
      </c>
      <c r="D29" s="138" t="str">
        <f>IF('Well A Stage 11'!H49="","",'Well A Stage 11'!H49)</f>
        <v/>
      </c>
      <c r="E29" s="138" t="str">
        <f>IF('Well A Stage 11'!H50="","",'Well A Stage 11'!H50)</f>
        <v/>
      </c>
      <c r="F29" s="138" t="str">
        <f>IF('Well A Stage 11'!D28="","",'Well A Stage 11'!D28)</f>
        <v/>
      </c>
      <c r="G29" s="138" t="str">
        <f>IF('Well A Stage 11'!D30="","",'Well A Stage 11'!D30)</f>
        <v/>
      </c>
      <c r="H29" s="138" t="str">
        <f>IF('Well A Stage 11'!K49="","",'Well A Stage 11'!K49)</f>
        <v/>
      </c>
      <c r="I29" s="138" t="str">
        <f>IF('Well A Stage 11'!K50="","",'Well A Stage 11'!K50)</f>
        <v/>
      </c>
      <c r="J29" s="138" t="str">
        <f t="shared" si="0"/>
        <v/>
      </c>
      <c r="K29" s="141" t="str">
        <f>IF('Well A Stage 11'!D49="","",'Well A Stage 11'!D29)</f>
        <v/>
      </c>
      <c r="L29" s="141" t="str">
        <f>IF('Well A Stage 11'!D31="","",'Well A Stage 11'!D31)</f>
        <v/>
      </c>
      <c r="M29" s="144" t="str">
        <f>IF('Well A Stage 11'!L31="","",'Well A Stage 11'!L31)</f>
        <v/>
      </c>
      <c r="N29" s="144" t="str">
        <f>IF('Well A Stage 11'!L32="","",'Well A Stage 11'!L32)</f>
        <v/>
      </c>
      <c r="O29" s="144" t="str">
        <f>IF('Well A Stage 11'!L33="","",'Well A Stage 11'!L33)</f>
        <v/>
      </c>
      <c r="P29" s="144" t="str">
        <f>IF('Well A Stage 11'!L34="","",'Well A Stage 11'!L34)</f>
        <v/>
      </c>
      <c r="Q29" s="144" t="str">
        <f>IF('Well A Stage 11'!L35="","",'Well A Stage 11'!L35)</f>
        <v/>
      </c>
      <c r="R29" s="144" t="str">
        <f>IF('Well A Stage 11'!L37="","",'Well A Stage 11'!L37)</f>
        <v/>
      </c>
      <c r="S29" s="147" t="str">
        <f>IF('Well A Stage 11'!E21="","",'Well A Stage 11'!E21)</f>
        <v/>
      </c>
      <c r="T29" s="147" t="str">
        <f>IF('Well A Stage 11'!E19="","",'Well A Stage 11'!E19)</f>
        <v/>
      </c>
      <c r="U29" s="147" t="str">
        <f>IF('Well A Stage 11'!E20="","",'Well A Stage 11'!E20)</f>
        <v/>
      </c>
      <c r="V29" s="147" t="str">
        <f>IF('Well A Stage 11'!H20="","",'Well A Stage 11'!H20)</f>
        <v/>
      </c>
      <c r="W29" s="115" t="str">
        <f>IF('Well A Stage 11'!K13="","",'Well A Stage 11'!K13)</f>
        <v/>
      </c>
      <c r="X29" s="115" t="str">
        <f>IF('Well A Stage 11'!E22="","",'Well A Stage 11'!E22)</f>
        <v/>
      </c>
      <c r="Y29" s="115" t="str">
        <f>IF('Well A Stage 11'!C40="","",'Well A Stage 11'!C40)</f>
        <v/>
      </c>
      <c r="Z29" s="144" t="str">
        <f>IF('Well A Stage 11'!D40="","",'Well A Stage 11'!D40)</f>
        <v/>
      </c>
      <c r="AA29" s="114" t="str">
        <f>IF('Well A Stage 11'!C41="","",'Well A Stage 11'!C41)</f>
        <v/>
      </c>
      <c r="AB29" s="144" t="str">
        <f>IF('Well A Stage 11'!D41="","",'Well A Stage 11'!D41)</f>
        <v/>
      </c>
      <c r="AC29" s="114" t="str">
        <f>IF('Well A Stage 11'!C42="","",'Well A Stage 11'!C42)</f>
        <v/>
      </c>
      <c r="AD29" s="144" t="str">
        <f>IF('Well A Stage 11'!D42="","",'Well A Stage 11'!D42)</f>
        <v/>
      </c>
      <c r="AE29" s="144" t="str">
        <f>IF('Well A Stage 11'!H12="","",'Well A Stage 11'!H12)</f>
        <v/>
      </c>
      <c r="AF29" s="114" t="str">
        <f>IF('Well A Stage 11'!L38="","",'Well A Stage 11'!L38)</f>
        <v/>
      </c>
      <c r="AG29" s="60"/>
    </row>
    <row r="30" spans="1:33" s="88" customFormat="1" ht="15" x14ac:dyDescent="0.2">
      <c r="A30" s="59"/>
      <c r="B30" s="114">
        <f>IF('Well A Stage 12'!H11="","",'Well A Stage 12'!H11)</f>
        <v>12</v>
      </c>
      <c r="C30" s="114" t="str">
        <f>IF('Well A Stage 12'!C8="","",'Well A Stage 12'!C8)</f>
        <v/>
      </c>
      <c r="D30" s="138" t="str">
        <f>IF('Well A Stage 12'!H49="","",'Well A Stage 12'!H49)</f>
        <v/>
      </c>
      <c r="E30" s="138" t="str">
        <f>IF('Well A Stage 12'!H50="","",'Well A Stage 12'!H50)</f>
        <v/>
      </c>
      <c r="F30" s="138" t="str">
        <f>IF('Well A Stage 12'!D28="","",'Well A Stage 12'!D28)</f>
        <v/>
      </c>
      <c r="G30" s="138" t="str">
        <f>IF('Well A Stage 12'!D30="","",'Well A Stage 12'!D30)</f>
        <v/>
      </c>
      <c r="H30" s="138" t="str">
        <f>IF('Well A Stage 12'!K49="","",'Well A Stage 12'!K49)</f>
        <v/>
      </c>
      <c r="I30" s="138" t="str">
        <f>IF('Well A Stage 12'!K50="","",'Well A Stage 12'!K50)</f>
        <v/>
      </c>
      <c r="J30" s="138" t="str">
        <f t="shared" si="0"/>
        <v/>
      </c>
      <c r="K30" s="141" t="str">
        <f>IF('Well A Stage 12'!D49="","",'Well A Stage 12'!D29)</f>
        <v/>
      </c>
      <c r="L30" s="141" t="str">
        <f>IF('Well A Stage 12'!D31="","",'Well A Stage 12'!D31)</f>
        <v/>
      </c>
      <c r="M30" s="144" t="str">
        <f>IF('Well A Stage 12'!L31="","",'Well A Stage 12'!L31)</f>
        <v/>
      </c>
      <c r="N30" s="144" t="str">
        <f>IF('Well A Stage 12'!L32="","",'Well A Stage 12'!L32)</f>
        <v/>
      </c>
      <c r="O30" s="144" t="str">
        <f>IF('Well A Stage 12'!L33="","",'Well A Stage 12'!L33)</f>
        <v/>
      </c>
      <c r="P30" s="144" t="str">
        <f>IF('Well A Stage 12'!L34="","",'Well A Stage 12'!L34)</f>
        <v/>
      </c>
      <c r="Q30" s="144" t="str">
        <f>IF('Well A Stage 12'!L35="","",'Well A Stage 12'!L35)</f>
        <v/>
      </c>
      <c r="R30" s="144" t="str">
        <f>IF('Well A Stage 12'!L37="","",'Well A Stage 12'!L37)</f>
        <v/>
      </c>
      <c r="S30" s="147" t="str">
        <f>IF('Well A Stage 12'!E21="","",'Well A Stage 12'!E21)</f>
        <v/>
      </c>
      <c r="T30" s="147" t="str">
        <f>IF('Well A Stage 12'!E19="","",'Well A Stage 12'!E19)</f>
        <v/>
      </c>
      <c r="U30" s="147" t="str">
        <f>IF('Well A Stage 12'!E20="","",'Well A Stage 12'!E20)</f>
        <v/>
      </c>
      <c r="V30" s="147" t="str">
        <f>IF('Well A Stage 12'!H20="","",'Well A Stage 12'!H20)</f>
        <v/>
      </c>
      <c r="W30" s="115" t="str">
        <f>IF('Well A Stage 12'!K13="","",'Well A Stage 12'!K13)</f>
        <v/>
      </c>
      <c r="X30" s="115" t="str">
        <f>IF('Well A Stage 12'!E22="","",'Well A Stage 12'!E22)</f>
        <v/>
      </c>
      <c r="Y30" s="115" t="str">
        <f>IF('Well A Stage 12'!C40="","",'Well A Stage 12'!C40)</f>
        <v/>
      </c>
      <c r="Z30" s="144" t="str">
        <f>IF('Well A Stage 12'!D40="","",'Well A Stage 12'!D40)</f>
        <v/>
      </c>
      <c r="AA30" s="114" t="str">
        <f>IF('Well A Stage 12'!C41="","",'Well A Stage 12'!C41)</f>
        <v/>
      </c>
      <c r="AB30" s="144" t="str">
        <f>IF('Well A Stage 12'!D41="","",'Well A Stage 12'!D41)</f>
        <v/>
      </c>
      <c r="AC30" s="114" t="str">
        <f>IF('Well A Stage 12'!C42="","",'Well A Stage 12'!C42)</f>
        <v/>
      </c>
      <c r="AD30" s="144" t="str">
        <f>IF('Well A Stage 12'!D42="","",'Well A Stage 12'!D42)</f>
        <v/>
      </c>
      <c r="AE30" s="144" t="str">
        <f>IF('Well A Stage 12'!H12="","",'Well A Stage 12'!H12)</f>
        <v/>
      </c>
      <c r="AF30" s="114" t="str">
        <f>IF('Well A Stage 12'!L38="","",'Well A Stage 12'!L38)</f>
        <v/>
      </c>
      <c r="AG30" s="60"/>
    </row>
    <row r="31" spans="1:33" s="88" customFormat="1" ht="15" x14ac:dyDescent="0.2">
      <c r="A31" s="59"/>
      <c r="B31" s="114">
        <f>IF('Well A Stage 13'!H11="","",'Well A Stage 13'!H11)</f>
        <v>13</v>
      </c>
      <c r="C31" s="114" t="str">
        <f>IF('Well A Stage 13'!C8="","",'Well A Stage 13'!C8)</f>
        <v/>
      </c>
      <c r="D31" s="138" t="str">
        <f>IF('Well A Stage 13'!H49="","",'Well A Stage 13'!H49)</f>
        <v/>
      </c>
      <c r="E31" s="138" t="str">
        <f>IF('Well A Stage 13'!H50="","",'Well A Stage 13'!H50)</f>
        <v/>
      </c>
      <c r="F31" s="138" t="str">
        <f>IF('Well A Stage 13'!D28="","",'Well A Stage 13'!D28)</f>
        <v/>
      </c>
      <c r="G31" s="138" t="str">
        <f>IF('Well A Stage 13'!D30="","",'Well A Stage 13'!D30)</f>
        <v/>
      </c>
      <c r="H31" s="138" t="str">
        <f>IF('Well A Stage 13'!K49="","",'Well A Stage 13'!K49)</f>
        <v/>
      </c>
      <c r="I31" s="138" t="str">
        <f>IF('Well A Stage 13'!K50="","",'Well A Stage 13'!K50)</f>
        <v/>
      </c>
      <c r="J31" s="138" t="str">
        <f t="shared" si="0"/>
        <v/>
      </c>
      <c r="K31" s="141" t="str">
        <f>IF('Well A Stage 13'!D49="","",'Well A Stage 13'!D29)</f>
        <v/>
      </c>
      <c r="L31" s="141" t="str">
        <f>IF('Well A Stage 13'!D31="","",'Well A Stage 13'!D31)</f>
        <v/>
      </c>
      <c r="M31" s="144" t="str">
        <f>IF('Well A Stage 13'!L31="","",'Well A Stage 13'!L31)</f>
        <v/>
      </c>
      <c r="N31" s="144" t="str">
        <f>IF('Well A Stage 13'!L32="","",'Well A Stage 13'!L32)</f>
        <v/>
      </c>
      <c r="O31" s="144" t="str">
        <f>IF('Well A Stage 13'!L33="","",'Well A Stage 13'!L33)</f>
        <v/>
      </c>
      <c r="P31" s="144" t="str">
        <f>IF('Well A Stage 13'!L34="","",'Well A Stage 13'!L34)</f>
        <v/>
      </c>
      <c r="Q31" s="144" t="str">
        <f>IF('Well A Stage 13'!L35="","",'Well A Stage 13'!L35)</f>
        <v/>
      </c>
      <c r="R31" s="144" t="str">
        <f>IF('Well A Stage 13'!L37="","",'Well A Stage 13'!L37)</f>
        <v/>
      </c>
      <c r="S31" s="147" t="str">
        <f>IF('Well A Stage 13'!E21="","",'Well A Stage 13'!E21)</f>
        <v/>
      </c>
      <c r="T31" s="147" t="str">
        <f>IF('Well A Stage 13'!E19="","",'Well A Stage 13'!E19)</f>
        <v/>
      </c>
      <c r="U31" s="147" t="str">
        <f>IF('Well A Stage 13'!E20="","",'Well A Stage 13'!E20)</f>
        <v/>
      </c>
      <c r="V31" s="147" t="str">
        <f>IF('Well A Stage 13'!H20="","",'Well A Stage 13'!H20)</f>
        <v/>
      </c>
      <c r="W31" s="115" t="str">
        <f>IF('Well A Stage 13'!K13="","",'Well A Stage 13'!K13)</f>
        <v/>
      </c>
      <c r="X31" s="115" t="str">
        <f>IF('Well A Stage 13'!E22="","",'Well A Stage 13'!E22)</f>
        <v/>
      </c>
      <c r="Y31" s="115" t="str">
        <f>IF('Well A Stage 13'!C40="","",'Well A Stage 13'!C40)</f>
        <v/>
      </c>
      <c r="Z31" s="144" t="str">
        <f>IF('Well A Stage 13'!D40="","",'Well A Stage 13'!D40)</f>
        <v/>
      </c>
      <c r="AA31" s="114" t="str">
        <f>IF('Well A Stage 13'!C41="","",'Well A Stage 13'!C41)</f>
        <v/>
      </c>
      <c r="AB31" s="144" t="str">
        <f>IF('Well A Stage 13'!D41="","",'Well A Stage 13'!D41)</f>
        <v/>
      </c>
      <c r="AC31" s="114" t="str">
        <f>IF('Well A Stage 13'!C42="","",'Well A Stage 13'!C42)</f>
        <v/>
      </c>
      <c r="AD31" s="144" t="str">
        <f>IF('Well A Stage 13'!D42="","",'Well A Stage 13'!D42)</f>
        <v/>
      </c>
      <c r="AE31" s="144" t="str">
        <f>IF('Well A Stage 13'!H12="","",'Well A Stage 13'!H12)</f>
        <v/>
      </c>
      <c r="AF31" s="114" t="str">
        <f>IF('Well A Stage 13'!L38="","",'Well A Stage 13'!L38)</f>
        <v/>
      </c>
      <c r="AG31" s="60"/>
    </row>
    <row r="32" spans="1:33" s="89" customFormat="1" ht="15" x14ac:dyDescent="0.2">
      <c r="A32" s="59"/>
      <c r="B32" s="114">
        <f>IF('Well A Stage 14'!H11="","",'Well A Stage 14'!H11)</f>
        <v>14</v>
      </c>
      <c r="C32" s="114" t="str">
        <f>IF('Well A Stage 14'!C8="","",'Well A Stage 14'!C8)</f>
        <v/>
      </c>
      <c r="D32" s="138" t="str">
        <f>IF('Well A Stage 14'!H49="","",'Well A Stage 14'!H49)</f>
        <v/>
      </c>
      <c r="E32" s="138" t="str">
        <f>IF('Well A Stage 14'!H50="","",'Well A Stage 14'!H50)</f>
        <v/>
      </c>
      <c r="F32" s="138" t="str">
        <f>IF('Well A Stage 14'!D28="","",'Well A Stage 14'!D28)</f>
        <v/>
      </c>
      <c r="G32" s="138" t="str">
        <f>IF('Well A Stage 14'!D30="","",'Well A Stage 14'!D30)</f>
        <v/>
      </c>
      <c r="H32" s="138" t="str">
        <f>IF('Well A Stage 14'!K49="","",'Well A Stage 14'!K49)</f>
        <v/>
      </c>
      <c r="I32" s="138" t="str">
        <f>IF('Well A Stage 14'!K50="","",'Well A Stage 14'!K50)</f>
        <v/>
      </c>
      <c r="J32" s="138" t="str">
        <f t="shared" si="0"/>
        <v/>
      </c>
      <c r="K32" s="141" t="str">
        <f>IF('Well A Stage 14'!D49="","",'Well A Stage 14'!D29)</f>
        <v/>
      </c>
      <c r="L32" s="141" t="str">
        <f>IF('Well A Stage 14'!D31="","",'Well A Stage 14'!D31)</f>
        <v/>
      </c>
      <c r="M32" s="144" t="str">
        <f>IF('Well A Stage 14'!L31="","",'Well A Stage 14'!L31)</f>
        <v/>
      </c>
      <c r="N32" s="144" t="str">
        <f>IF('Well A Stage 14'!L32="","",'Well A Stage 14'!L32)</f>
        <v/>
      </c>
      <c r="O32" s="144" t="str">
        <f>IF('Well A Stage 14'!L33="","",'Well A Stage 14'!L33)</f>
        <v/>
      </c>
      <c r="P32" s="144" t="str">
        <f>IF('Well A Stage 14'!L34="","",'Well A Stage 14'!L34)</f>
        <v/>
      </c>
      <c r="Q32" s="144" t="str">
        <f>IF('Well A Stage 14'!L35="","",'Well A Stage 14'!L35)</f>
        <v/>
      </c>
      <c r="R32" s="144" t="str">
        <f>IF('Well A Stage 14'!L37="","",'Well A Stage 14'!L37)</f>
        <v/>
      </c>
      <c r="S32" s="147" t="str">
        <f>IF('Well A Stage 14'!E21="","",'Well A Stage 14'!E21)</f>
        <v/>
      </c>
      <c r="T32" s="147" t="str">
        <f>IF('Well A Stage 14'!E19="","",'Well A Stage 14'!E19)</f>
        <v/>
      </c>
      <c r="U32" s="147" t="str">
        <f>IF('Well A Stage 14'!E20="","",'Well A Stage 14'!E20)</f>
        <v/>
      </c>
      <c r="V32" s="147" t="str">
        <f>IF('Well A Stage 14'!H20="","",'Well A Stage 14'!H20)</f>
        <v/>
      </c>
      <c r="W32" s="115" t="str">
        <f>IF('Well A Stage 14'!K13="","",'Well A Stage 14'!K13)</f>
        <v/>
      </c>
      <c r="X32" s="115" t="str">
        <f>IF('Well A Stage 14'!E22="","",'Well A Stage 14'!E22)</f>
        <v/>
      </c>
      <c r="Y32" s="115" t="str">
        <f>IF('Well A Stage 14'!C40="","",'Well A Stage 14'!C40)</f>
        <v/>
      </c>
      <c r="Z32" s="144" t="str">
        <f>IF('Well A Stage 14'!D40="","",'Well A Stage 14'!D40)</f>
        <v/>
      </c>
      <c r="AA32" s="114" t="str">
        <f>IF('Well A Stage 14'!C41="","",'Well A Stage 14'!C41)</f>
        <v/>
      </c>
      <c r="AB32" s="144" t="str">
        <f>IF('Well A Stage 14'!D41="","",'Well A Stage 14'!D41)</f>
        <v/>
      </c>
      <c r="AC32" s="114" t="str">
        <f>IF('Well A Stage 14'!C42="","",'Well A Stage 14'!C42)</f>
        <v/>
      </c>
      <c r="AD32" s="144" t="str">
        <f>IF('Well A Stage 14'!D42="","",'Well A Stage 14'!D42)</f>
        <v/>
      </c>
      <c r="AE32" s="144" t="str">
        <f>IF('Well A Stage 14'!H12="","",'Well A Stage 14'!H12)</f>
        <v/>
      </c>
      <c r="AF32" s="114" t="str">
        <f>IF('Well A Stage 14'!L38="","",'Well A Stage 14'!L38)</f>
        <v/>
      </c>
      <c r="AG32" s="60"/>
    </row>
    <row r="33" spans="1:33" s="90" customFormat="1" ht="15.75" x14ac:dyDescent="0.2">
      <c r="A33" s="59"/>
      <c r="B33" s="114">
        <f>IF('Well A Stage 15'!H11="","",'Well A Stage 15'!H11)</f>
        <v>15</v>
      </c>
      <c r="C33" s="114" t="str">
        <f>IF('Well A Stage 15'!C8="","",'Well A Stage 15'!C8)</f>
        <v/>
      </c>
      <c r="D33" s="138" t="str">
        <f>IF('Well A Stage 15'!H49="","",'Well A Stage 15'!H49)</f>
        <v/>
      </c>
      <c r="E33" s="138" t="str">
        <f>IF('Well A Stage 15'!H50="","",'Well A Stage 15'!H50)</f>
        <v/>
      </c>
      <c r="F33" s="138" t="str">
        <f>IF('Well A Stage 15'!D28="","",'Well A Stage 15'!D28)</f>
        <v/>
      </c>
      <c r="G33" s="138" t="str">
        <f>IF('Well A Stage 15'!D30="","",'Well A Stage 15'!D30)</f>
        <v/>
      </c>
      <c r="H33" s="138" t="str">
        <f>IF('Well A Stage 15'!K49="","",'Well A Stage 15'!K49)</f>
        <v/>
      </c>
      <c r="I33" s="138" t="str">
        <f>IF('Well A Stage 15'!K50="","",'Well A Stage 15'!K50)</f>
        <v/>
      </c>
      <c r="J33" s="138" t="str">
        <f t="shared" si="0"/>
        <v/>
      </c>
      <c r="K33" s="141" t="str">
        <f>IF('Well A Stage 15'!D49="","",'Well A Stage 15'!D29)</f>
        <v/>
      </c>
      <c r="L33" s="141" t="str">
        <f>IF('Well A Stage 15'!D31="","",'Well A Stage 15'!D31)</f>
        <v/>
      </c>
      <c r="M33" s="144" t="str">
        <f>IF('Well A Stage 15'!L31="","",'Well A Stage 15'!L31)</f>
        <v/>
      </c>
      <c r="N33" s="144" t="str">
        <f>IF('Well A Stage 15'!L32="","",'Well A Stage 15'!L32)</f>
        <v/>
      </c>
      <c r="O33" s="144" t="str">
        <f>IF('Well A Stage 15'!L33="","",'Well A Stage 15'!L33)</f>
        <v/>
      </c>
      <c r="P33" s="144" t="str">
        <f>IF('Well A Stage 15'!L34="","",'Well A Stage 15'!L34)</f>
        <v/>
      </c>
      <c r="Q33" s="144" t="str">
        <f>IF('Well A Stage 15'!L35="","",'Well A Stage 15'!L35)</f>
        <v/>
      </c>
      <c r="R33" s="144" t="str">
        <f>IF('Well A Stage 15'!L37="","",'Well A Stage 15'!L37)</f>
        <v/>
      </c>
      <c r="S33" s="147" t="str">
        <f>IF('Well A Stage 15'!E21="","",'Well A Stage 15'!E21)</f>
        <v/>
      </c>
      <c r="T33" s="147" t="str">
        <f>IF('Well A Stage 15'!E19="","",'Well A Stage 15'!E19)</f>
        <v/>
      </c>
      <c r="U33" s="147" t="str">
        <f>IF('Well A Stage 15'!E20="","",'Well A Stage 15'!E20)</f>
        <v/>
      </c>
      <c r="V33" s="147" t="str">
        <f>IF('Well A Stage 15'!H20="","",'Well A Stage 15'!H20)</f>
        <v/>
      </c>
      <c r="W33" s="115" t="str">
        <f>IF('Well A Stage 15'!K13="","",'Well A Stage 15'!K13)</f>
        <v/>
      </c>
      <c r="X33" s="115" t="str">
        <f>IF('Well A Stage 15'!E22="","",'Well A Stage 15'!E22)</f>
        <v/>
      </c>
      <c r="Y33" s="115" t="str">
        <f>IF('Well A Stage 15'!C40="","",'Well A Stage 15'!C40)</f>
        <v/>
      </c>
      <c r="Z33" s="144" t="str">
        <f>IF('Well A Stage 15'!D40="","",'Well A Stage 15'!D40)</f>
        <v/>
      </c>
      <c r="AA33" s="114" t="str">
        <f>IF('Well A Stage 15'!C41="","",'Well A Stage 15'!C41)</f>
        <v/>
      </c>
      <c r="AB33" s="144" t="str">
        <f>IF('Well A Stage 15'!D41="","",'Well A Stage 15'!D41)</f>
        <v/>
      </c>
      <c r="AC33" s="114" t="str">
        <f>IF('Well A Stage 15'!C42="","",'Well A Stage 15'!C42)</f>
        <v/>
      </c>
      <c r="AD33" s="144" t="str">
        <f>IF('Well A Stage 15'!D42="","",'Well A Stage 15'!D42)</f>
        <v/>
      </c>
      <c r="AE33" s="144" t="str">
        <f>IF('Well A Stage 15'!H12="","",'Well A Stage 15'!H12)</f>
        <v/>
      </c>
      <c r="AF33" s="114" t="str">
        <f>IF('Well A Stage 15'!L38="","",'Well A Stage 15'!L38)</f>
        <v/>
      </c>
      <c r="AG33" s="60"/>
    </row>
    <row r="34" spans="1:33" s="88" customFormat="1" ht="15" x14ac:dyDescent="0.2">
      <c r="A34" s="59"/>
      <c r="B34" s="114">
        <f>IF('Well A Stage 16'!H11="","",'Well A Stage 16'!H11)</f>
        <v>16</v>
      </c>
      <c r="C34" s="114" t="str">
        <f>IF('Well A Stage 16'!C8="","",'Well A Stage 16'!C8)</f>
        <v/>
      </c>
      <c r="D34" s="138" t="str">
        <f>IF('Well A Stage 16'!H49="","",'Well A Stage 16'!H49)</f>
        <v/>
      </c>
      <c r="E34" s="138" t="str">
        <f>IF('Well A Stage 16'!H50="","",'Well A Stage 16'!H50)</f>
        <v/>
      </c>
      <c r="F34" s="138" t="str">
        <f>IF('Well A Stage 16'!D28="","",'Well A Stage 16'!D28)</f>
        <v/>
      </c>
      <c r="G34" s="138" t="str">
        <f>IF('Well A Stage 16'!D30="","",'Well A Stage 16'!D30)</f>
        <v/>
      </c>
      <c r="H34" s="138" t="str">
        <f>IF('Well A Stage 16'!K49="","",'Well A Stage 16'!K49)</f>
        <v/>
      </c>
      <c r="I34" s="138" t="str">
        <f>IF('Well A Stage 16'!K50="","",'Well A Stage 16'!K50)</f>
        <v/>
      </c>
      <c r="J34" s="138" t="str">
        <f t="shared" si="0"/>
        <v/>
      </c>
      <c r="K34" s="141" t="str">
        <f>IF('Well A Stage 16'!D49="","",'Well A Stage 16'!D29)</f>
        <v/>
      </c>
      <c r="L34" s="141" t="str">
        <f>IF('Well A Stage 16'!D31="","",'Well A Stage 16'!D31)</f>
        <v/>
      </c>
      <c r="M34" s="144" t="str">
        <f>IF('Well A Stage 16'!L31="","",'Well A Stage 16'!L31)</f>
        <v/>
      </c>
      <c r="N34" s="144" t="str">
        <f>IF('Well A Stage 16'!L32="","",'Well A Stage 16'!L32)</f>
        <v/>
      </c>
      <c r="O34" s="144" t="str">
        <f>IF('Well A Stage 16'!L33="","",'Well A Stage 16'!L33)</f>
        <v/>
      </c>
      <c r="P34" s="144" t="str">
        <f>IF('Well A Stage 16'!L34="","",'Well A Stage 16'!L34)</f>
        <v/>
      </c>
      <c r="Q34" s="144" t="str">
        <f>IF('Well A Stage 16'!L35="","",'Well A Stage 16'!L35)</f>
        <v/>
      </c>
      <c r="R34" s="144" t="str">
        <f>IF('Well A Stage 16'!L37="","",'Well A Stage 16'!L37)</f>
        <v/>
      </c>
      <c r="S34" s="147" t="str">
        <f>IF('Well A Stage 16'!E21="","",'Well A Stage 16'!E21)</f>
        <v/>
      </c>
      <c r="T34" s="147" t="str">
        <f>IF('Well A Stage 16'!E19="","",'Well A Stage 16'!E19)</f>
        <v/>
      </c>
      <c r="U34" s="147" t="str">
        <f>IF('Well A Stage 16'!E20="","",'Well A Stage 16'!E20)</f>
        <v/>
      </c>
      <c r="V34" s="147" t="str">
        <f>IF('Well A Stage 16'!H20="","",'Well A Stage 16'!H20)</f>
        <v/>
      </c>
      <c r="W34" s="115" t="str">
        <f>IF('Well A Stage 16'!K13="","",'Well A Stage 16'!K13)</f>
        <v/>
      </c>
      <c r="X34" s="115" t="str">
        <f>IF('Well A Stage 16'!E22="","",'Well A Stage 16'!E22)</f>
        <v/>
      </c>
      <c r="Y34" s="115" t="str">
        <f>IF('Well A Stage 16'!C40="","",'Well A Stage 16'!C40)</f>
        <v/>
      </c>
      <c r="Z34" s="144" t="str">
        <f>IF('Well A Stage 16'!D40="","",'Well A Stage 16'!D40)</f>
        <v/>
      </c>
      <c r="AA34" s="114" t="str">
        <f>IF('Well A Stage 16'!C41="","",'Well A Stage 16'!C41)</f>
        <v/>
      </c>
      <c r="AB34" s="144" t="str">
        <f>IF('Well A Stage 16'!D41="","",'Well A Stage 16'!D41)</f>
        <v/>
      </c>
      <c r="AC34" s="114" t="str">
        <f>IF('Well A Stage 16'!C42="","",'Well A Stage 16'!C42)</f>
        <v/>
      </c>
      <c r="AD34" s="144" t="str">
        <f>IF('Well A Stage 16'!D42="","",'Well A Stage 16'!D42)</f>
        <v/>
      </c>
      <c r="AE34" s="144" t="str">
        <f>IF('Well A Stage 16'!H12="","",'Well A Stage 16'!H12)</f>
        <v/>
      </c>
      <c r="AF34" s="114" t="str">
        <f>IF('Well A Stage 16'!L38="","",'Well A Stage 16'!L38)</f>
        <v/>
      </c>
      <c r="AG34" s="60"/>
    </row>
    <row r="35" spans="1:33" s="88" customFormat="1" ht="15" x14ac:dyDescent="0.2">
      <c r="A35" s="59"/>
      <c r="B35" s="114">
        <f>IF('Well A Stage 17'!H11="","",'Well A Stage 17'!H11)</f>
        <v>17</v>
      </c>
      <c r="C35" s="114" t="str">
        <f>IF('Well A Stage 17'!C8="","",'Well A Stage 17'!C8)</f>
        <v/>
      </c>
      <c r="D35" s="138" t="str">
        <f>IF('Well A Stage 17'!H49="","",'Well A Stage 17'!H49)</f>
        <v/>
      </c>
      <c r="E35" s="138" t="str">
        <f>IF('Well A Stage 17'!H50="","",'Well A Stage 17'!H50)</f>
        <v/>
      </c>
      <c r="F35" s="138" t="str">
        <f>IF('Well A Stage 17'!D28="","",'Well A Stage 17'!D28)</f>
        <v/>
      </c>
      <c r="G35" s="138" t="str">
        <f>IF('Well A Stage 17'!D30="","",'Well A Stage 17'!D30)</f>
        <v/>
      </c>
      <c r="H35" s="138" t="str">
        <f>IF('Well A Stage 17'!K49="","",'Well A Stage 17'!K49)</f>
        <v/>
      </c>
      <c r="I35" s="138" t="str">
        <f>IF('Well A Stage 17'!K50="","",'Well A Stage 17'!K50)</f>
        <v/>
      </c>
      <c r="J35" s="138" t="str">
        <f t="shared" si="0"/>
        <v/>
      </c>
      <c r="K35" s="141" t="str">
        <f>IF('Well A Stage 17'!D49="","",'Well A Stage 17'!D29)</f>
        <v/>
      </c>
      <c r="L35" s="141" t="str">
        <f>IF('Well A Stage 17'!D31="","",'Well A Stage 17'!D31)</f>
        <v/>
      </c>
      <c r="M35" s="144" t="str">
        <f>IF('Well A Stage 17'!L31="","",'Well A Stage 17'!L31)</f>
        <v/>
      </c>
      <c r="N35" s="144" t="str">
        <f>IF('Well A Stage 17'!L32="","",'Well A Stage 17'!L32)</f>
        <v/>
      </c>
      <c r="O35" s="144" t="str">
        <f>IF('Well A Stage 17'!L33="","",'Well A Stage 17'!L33)</f>
        <v/>
      </c>
      <c r="P35" s="144" t="str">
        <f>IF('Well A Stage 17'!L34="","",'Well A Stage 17'!L34)</f>
        <v/>
      </c>
      <c r="Q35" s="144" t="str">
        <f>IF('Well A Stage 17'!L35="","",'Well A Stage 17'!L35)</f>
        <v/>
      </c>
      <c r="R35" s="144" t="str">
        <f>IF('Well A Stage 17'!L37="","",'Well A Stage 17'!L37)</f>
        <v/>
      </c>
      <c r="S35" s="147" t="str">
        <f>IF('Well A Stage 17'!E21="","",'Well A Stage 17'!E21)</f>
        <v/>
      </c>
      <c r="T35" s="147" t="str">
        <f>IF('Well A Stage 17'!E19="","",'Well A Stage 17'!E19)</f>
        <v/>
      </c>
      <c r="U35" s="147" t="str">
        <f>IF('Well A Stage 17'!E20="","",'Well A Stage 17'!E20)</f>
        <v/>
      </c>
      <c r="V35" s="147" t="str">
        <f>IF('Well A Stage 17'!H20="","",'Well A Stage 17'!H20)</f>
        <v/>
      </c>
      <c r="W35" s="115" t="str">
        <f>IF('Well A Stage 17'!K13="","",'Well A Stage 17'!K13)</f>
        <v/>
      </c>
      <c r="X35" s="115" t="str">
        <f>IF('Well A Stage 17'!E22="","",'Well A Stage 17'!E22)</f>
        <v/>
      </c>
      <c r="Y35" s="115" t="str">
        <f>IF('Well A Stage 17'!C40="","",'Well A Stage 17'!C40)</f>
        <v/>
      </c>
      <c r="Z35" s="144" t="str">
        <f>IF('Well A Stage 17'!D40="","",'Well A Stage 17'!D40)</f>
        <v/>
      </c>
      <c r="AA35" s="114" t="str">
        <f>IF('Well A Stage 17'!C41="","",'Well A Stage 17'!C41)</f>
        <v/>
      </c>
      <c r="AB35" s="144" t="str">
        <f>IF('Well A Stage 17'!D41="","",'Well A Stage 17'!D41)</f>
        <v/>
      </c>
      <c r="AC35" s="114" t="str">
        <f>IF('Well A Stage 17'!C42="","",'Well A Stage 17'!C42)</f>
        <v/>
      </c>
      <c r="AD35" s="144" t="str">
        <f>IF('Well A Stage 17'!D42="","",'Well A Stage 17'!D42)</f>
        <v/>
      </c>
      <c r="AE35" s="144" t="str">
        <f>IF('Well A Stage 17'!H12="","",'Well A Stage 17'!H12)</f>
        <v/>
      </c>
      <c r="AF35" s="114" t="str">
        <f>IF('Well A Stage 17'!L38="","",'Well A Stage 17'!L38)</f>
        <v/>
      </c>
      <c r="AG35" s="60"/>
    </row>
    <row r="36" spans="1:33" s="88" customFormat="1" ht="15" x14ac:dyDescent="0.2">
      <c r="A36" s="59"/>
      <c r="B36" s="114">
        <f>IF('Well A Stage 18'!H11="","",'Well A Stage 18'!H11)</f>
        <v>18</v>
      </c>
      <c r="C36" s="114" t="str">
        <f>IF('Well A Stage 18'!C8="","",'Well A Stage 18'!C8)</f>
        <v/>
      </c>
      <c r="D36" s="138" t="str">
        <f>IF('Well A Stage 18'!H49="","",'Well A Stage 18'!H49)</f>
        <v/>
      </c>
      <c r="E36" s="138" t="str">
        <f>IF('Well A Stage 18'!H50="","",'Well A Stage 18'!H50)</f>
        <v/>
      </c>
      <c r="F36" s="138" t="str">
        <f>IF('Well A Stage 18'!D28="","",'Well A Stage 18'!D28)</f>
        <v/>
      </c>
      <c r="G36" s="138" t="str">
        <f>IF('Well A Stage 18'!D30="","",'Well A Stage 18'!D30)</f>
        <v/>
      </c>
      <c r="H36" s="138" t="str">
        <f>IF('Well A Stage 18'!K49="","",'Well A Stage 18'!K49)</f>
        <v/>
      </c>
      <c r="I36" s="138" t="str">
        <f>IF('Well A Stage 18'!K50="","",'Well A Stage 18'!K50)</f>
        <v/>
      </c>
      <c r="J36" s="138" t="str">
        <f t="shared" si="0"/>
        <v/>
      </c>
      <c r="K36" s="141" t="str">
        <f>IF('Well A Stage 18'!D49="","",'Well A Stage 18'!D29)</f>
        <v/>
      </c>
      <c r="L36" s="141" t="str">
        <f>IF('Well A Stage 18'!D31="","",'Well A Stage 18'!D31)</f>
        <v/>
      </c>
      <c r="M36" s="144" t="str">
        <f>IF('Well A Stage 18'!L31="","",'Well A Stage 18'!L31)</f>
        <v/>
      </c>
      <c r="N36" s="144" t="str">
        <f>IF('Well A Stage 18'!L32="","",'Well A Stage 18'!L32)</f>
        <v/>
      </c>
      <c r="O36" s="144" t="str">
        <f>IF('Well A Stage 18'!L33="","",'Well A Stage 18'!L33)</f>
        <v/>
      </c>
      <c r="P36" s="144" t="str">
        <f>IF('Well A Stage 18'!L34="","",'Well A Stage 18'!L34)</f>
        <v/>
      </c>
      <c r="Q36" s="144" t="str">
        <f>IF('Well A Stage 18'!L35="","",'Well A Stage 18'!L35)</f>
        <v/>
      </c>
      <c r="R36" s="144" t="str">
        <f>IF('Well A Stage 18'!L37="","",'Well A Stage 18'!L37)</f>
        <v/>
      </c>
      <c r="S36" s="147" t="str">
        <f>IF('Well A Stage 18'!E21="","",'Well A Stage 18'!E21)</f>
        <v/>
      </c>
      <c r="T36" s="147" t="str">
        <f>IF('Well A Stage 18'!E19="","",'Well A Stage 18'!E19)</f>
        <v/>
      </c>
      <c r="U36" s="147" t="str">
        <f>IF('Well A Stage 18'!E20="","",'Well A Stage 18'!E20)</f>
        <v/>
      </c>
      <c r="V36" s="147" t="str">
        <f>IF('Well A Stage 18'!H20="","",'Well A Stage 18'!H20)</f>
        <v/>
      </c>
      <c r="W36" s="115" t="str">
        <f>IF('Well A Stage 18'!K13="","",'Well A Stage 18'!K13)</f>
        <v/>
      </c>
      <c r="X36" s="115" t="str">
        <f>IF('Well A Stage 18'!E22="","",'Well A Stage 18'!E22)</f>
        <v/>
      </c>
      <c r="Y36" s="115" t="str">
        <f>IF('Well A Stage 18'!C40="","",'Well A Stage 18'!C40)</f>
        <v/>
      </c>
      <c r="Z36" s="144" t="str">
        <f>IF('Well A Stage 18'!D40="","",'Well A Stage 18'!D40)</f>
        <v/>
      </c>
      <c r="AA36" s="114" t="str">
        <f>IF('Well A Stage 18'!C41="","",'Well A Stage 18'!C41)</f>
        <v/>
      </c>
      <c r="AB36" s="144" t="str">
        <f>IF('Well A Stage 18'!D41="","",'Well A Stage 18'!D41)</f>
        <v/>
      </c>
      <c r="AC36" s="114" t="str">
        <f>IF('Well A Stage 18'!C42="","",'Well A Stage 18'!C42)</f>
        <v/>
      </c>
      <c r="AD36" s="144" t="str">
        <f>IF('Well A Stage 18'!D42="","",'Well A Stage 18'!D42)</f>
        <v/>
      </c>
      <c r="AE36" s="144" t="str">
        <f>IF('Well A Stage 18'!H12="","",'Well A Stage 18'!H12)</f>
        <v/>
      </c>
      <c r="AF36" s="114" t="str">
        <f>IF('Well A Stage 18'!L38="","",'Well A Stage 18'!L38)</f>
        <v/>
      </c>
      <c r="AG36" s="60"/>
    </row>
    <row r="37" spans="1:33" s="88" customFormat="1" ht="15" x14ac:dyDescent="0.2">
      <c r="A37" s="59"/>
      <c r="B37" s="114">
        <f>IF('Well A Stage 19'!H11="","",'Well A Stage 19'!H11)</f>
        <v>19</v>
      </c>
      <c r="C37" s="114" t="str">
        <f>IF('Well A Stage 19'!C8="","",'Well A Stage 19'!C8)</f>
        <v/>
      </c>
      <c r="D37" s="138" t="str">
        <f>IF('Well A Stage 19'!H49="","",'Well A Stage 19'!H49)</f>
        <v/>
      </c>
      <c r="E37" s="138" t="str">
        <f>IF('Well A Stage 19'!H50="","",'Well A Stage 19'!H50)</f>
        <v/>
      </c>
      <c r="F37" s="138" t="str">
        <f>IF('Well A Stage 19'!D28="","",'Well A Stage 19'!D28)</f>
        <v/>
      </c>
      <c r="G37" s="138" t="str">
        <f>IF('Well A Stage 19'!D30="","",'Well A Stage 19'!D30)</f>
        <v/>
      </c>
      <c r="H37" s="138" t="str">
        <f>IF('Well A Stage 19'!K49="","",'Well A Stage 19'!K49)</f>
        <v/>
      </c>
      <c r="I37" s="138" t="str">
        <f>IF('Well A Stage 19'!K50="","",'Well A Stage 19'!K50)</f>
        <v/>
      </c>
      <c r="J37" s="138" t="str">
        <f t="shared" si="0"/>
        <v/>
      </c>
      <c r="K37" s="141" t="str">
        <f>IF('Well A Stage 19'!D49="","",'Well A Stage 19'!D29)</f>
        <v/>
      </c>
      <c r="L37" s="141" t="str">
        <f>IF('Well A Stage 19'!D31="","",'Well A Stage 19'!D31)</f>
        <v/>
      </c>
      <c r="M37" s="144" t="str">
        <f>IF('Well A Stage 19'!L31="","",'Well A Stage 19'!L31)</f>
        <v/>
      </c>
      <c r="N37" s="144" t="str">
        <f>IF('Well A Stage 19'!L32="","",'Well A Stage 19'!L32)</f>
        <v/>
      </c>
      <c r="O37" s="144" t="str">
        <f>IF('Well A Stage 19'!L33="","",'Well A Stage 19'!L33)</f>
        <v/>
      </c>
      <c r="P37" s="144" t="str">
        <f>IF('Well A Stage 19'!L34="","",'Well A Stage 19'!L34)</f>
        <v/>
      </c>
      <c r="Q37" s="144" t="str">
        <f>IF('Well A Stage 19'!L35="","",'Well A Stage 19'!L35)</f>
        <v/>
      </c>
      <c r="R37" s="144" t="str">
        <f>IF('Well A Stage 19'!L37="","",'Well A Stage 19'!L37)</f>
        <v/>
      </c>
      <c r="S37" s="147" t="str">
        <f>IF('Well A Stage 19'!E21="","",'Well A Stage 19'!E21)</f>
        <v/>
      </c>
      <c r="T37" s="147" t="str">
        <f>IF('Well A Stage 19'!E19="","",'Well A Stage 19'!E19)</f>
        <v/>
      </c>
      <c r="U37" s="147" t="str">
        <f>IF('Well A Stage 19'!E20="","",'Well A Stage 19'!E20)</f>
        <v/>
      </c>
      <c r="V37" s="147" t="str">
        <f>IF('Well A Stage 19'!H20="","",'Well A Stage 19'!H20)</f>
        <v/>
      </c>
      <c r="W37" s="115" t="str">
        <f>IF('Well A Stage 19'!K13="","",'Well A Stage 19'!K13)</f>
        <v/>
      </c>
      <c r="X37" s="115" t="str">
        <f>IF('Well A Stage 19'!E22="","",'Well A Stage 19'!E22)</f>
        <v/>
      </c>
      <c r="Y37" s="115" t="str">
        <f>IF('Well A Stage 19'!C40="","",'Well A Stage 19'!C40)</f>
        <v/>
      </c>
      <c r="Z37" s="144" t="str">
        <f>IF('Well A Stage 19'!D40="","",'Well A Stage 19'!D40)</f>
        <v/>
      </c>
      <c r="AA37" s="114" t="str">
        <f>IF('Well A Stage 19'!C41="","",'Well A Stage 19'!C41)</f>
        <v/>
      </c>
      <c r="AB37" s="144" t="str">
        <f>IF('Well A Stage 19'!D41="","",'Well A Stage 19'!D41)</f>
        <v/>
      </c>
      <c r="AC37" s="114" t="str">
        <f>IF('Well A Stage 19'!C42="","",'Well A Stage 19'!C42)</f>
        <v/>
      </c>
      <c r="AD37" s="144" t="str">
        <f>IF('Well A Stage 19'!D42="","",'Well A Stage 19'!D42)</f>
        <v/>
      </c>
      <c r="AE37" s="144" t="str">
        <f>IF('Well A Stage 19'!H12="","",'Well A Stage 19'!H12)</f>
        <v/>
      </c>
      <c r="AF37" s="114" t="str">
        <f>IF('Well A Stage 19'!L38="","",'Well A Stage 19'!L38)</f>
        <v/>
      </c>
      <c r="AG37" s="60"/>
    </row>
    <row r="38" spans="1:33" s="88" customFormat="1" ht="15" x14ac:dyDescent="0.2">
      <c r="A38" s="59"/>
      <c r="B38" s="114">
        <f>IF('Well A Stage 20'!H11="","",'Well A Stage 20'!H11)</f>
        <v>20</v>
      </c>
      <c r="C38" s="114" t="str">
        <f>IF('Well A Stage 20'!C8="","",'Well A Stage 20'!C8)</f>
        <v/>
      </c>
      <c r="D38" s="138" t="str">
        <f>IF('Well A Stage 20'!H49="","",'Well A Stage 20'!H49)</f>
        <v/>
      </c>
      <c r="E38" s="138" t="str">
        <f>IF('Well A Stage 20'!H50="","",'Well A Stage 20'!H50)</f>
        <v/>
      </c>
      <c r="F38" s="138" t="str">
        <f>IF('Well A Stage 20'!D28="","",'Well A Stage 20'!D28)</f>
        <v/>
      </c>
      <c r="G38" s="138" t="str">
        <f>IF('Well A Stage 20'!D30="","",'Well A Stage 20'!D30)</f>
        <v/>
      </c>
      <c r="H38" s="138" t="str">
        <f>IF('Well A Stage 20'!K49="","",'Well A Stage 20'!K49)</f>
        <v/>
      </c>
      <c r="I38" s="138" t="str">
        <f>IF('Well A Stage 20'!K50="","",'Well A Stage 20'!K50)</f>
        <v/>
      </c>
      <c r="J38" s="138" t="str">
        <f t="shared" si="0"/>
        <v/>
      </c>
      <c r="K38" s="141" t="str">
        <f>IF('Well A Stage 20'!D49="","",'Well A Stage 20'!D29)</f>
        <v/>
      </c>
      <c r="L38" s="141" t="str">
        <f>IF('Well A Stage 20'!D31="","",'Well A Stage 20'!D31)</f>
        <v/>
      </c>
      <c r="M38" s="144" t="str">
        <f>IF('Well A Stage 20'!L31="","",'Well A Stage 20'!L31)</f>
        <v/>
      </c>
      <c r="N38" s="144" t="str">
        <f>IF('Well A Stage 20'!L32="","",'Well A Stage 20'!L32)</f>
        <v/>
      </c>
      <c r="O38" s="144" t="str">
        <f>IF('Well A Stage 20'!L33="","",'Well A Stage 20'!L33)</f>
        <v/>
      </c>
      <c r="P38" s="144" t="str">
        <f>IF('Well A Stage 20'!L34="","",'Well A Stage 20'!L34)</f>
        <v/>
      </c>
      <c r="Q38" s="144" t="str">
        <f>IF('Well A Stage 20'!L35="","",'Well A Stage 20'!L35)</f>
        <v/>
      </c>
      <c r="R38" s="144" t="str">
        <f>IF('Well A Stage 20'!L37="","",'Well A Stage 20'!L37)</f>
        <v/>
      </c>
      <c r="S38" s="147" t="str">
        <f>IF('Well A Stage 20'!E21="","",'Well A Stage 20'!E21)</f>
        <v/>
      </c>
      <c r="T38" s="147" t="str">
        <f>IF('Well A Stage 20'!E19="","",'Well A Stage 20'!E19)</f>
        <v/>
      </c>
      <c r="U38" s="147" t="str">
        <f>IF('Well A Stage 20'!E20="","",'Well A Stage 20'!E20)</f>
        <v/>
      </c>
      <c r="V38" s="147" t="str">
        <f>IF('Well A Stage 20'!H20="","",'Well A Stage 20'!H20)</f>
        <v/>
      </c>
      <c r="W38" s="115" t="str">
        <f>IF('Well A Stage 20'!K13="","",'Well A Stage 20'!K13)</f>
        <v/>
      </c>
      <c r="X38" s="115" t="str">
        <f>IF('Well A Stage 20'!E22="","",'Well A Stage 20'!E22)</f>
        <v/>
      </c>
      <c r="Y38" s="115" t="str">
        <f>IF('Well A Stage 20'!C40="","",'Well A Stage 20'!C40)</f>
        <v/>
      </c>
      <c r="Z38" s="144" t="str">
        <f>IF('Well A Stage 20'!D40="","",'Well A Stage 20'!D40)</f>
        <v/>
      </c>
      <c r="AA38" s="114" t="str">
        <f>IF('Well A Stage 20'!C41="","",'Well A Stage 20'!C41)</f>
        <v/>
      </c>
      <c r="AB38" s="144" t="str">
        <f>IF('Well A Stage 20'!D41="","",'Well A Stage 20'!D41)</f>
        <v/>
      </c>
      <c r="AC38" s="114" t="str">
        <f>IF('Well A Stage 20'!C42="","",'Well A Stage 20'!C42)</f>
        <v/>
      </c>
      <c r="AD38" s="144" t="str">
        <f>IF('Well A Stage 20'!D42="","",'Well A Stage 20'!D42)</f>
        <v/>
      </c>
      <c r="AE38" s="144" t="str">
        <f>IF('Well A Stage 20'!H12="","",'Well A Stage 20'!H12)</f>
        <v/>
      </c>
      <c r="AF38" s="114" t="str">
        <f>IF('Well A Stage 20'!L38="","",'Well A Stage 20'!L38)</f>
        <v/>
      </c>
      <c r="AG38" s="60"/>
    </row>
    <row r="39" spans="1:33" s="88" customFormat="1" ht="15" x14ac:dyDescent="0.2">
      <c r="A39" s="59"/>
      <c r="B39" s="114"/>
      <c r="C39" s="114"/>
      <c r="D39" s="138"/>
      <c r="E39" s="138"/>
      <c r="F39" s="138"/>
      <c r="G39" s="138"/>
      <c r="H39" s="138"/>
      <c r="I39" s="138"/>
      <c r="J39" s="138" t="str">
        <f t="shared" si="0"/>
        <v/>
      </c>
      <c r="K39" s="141"/>
      <c r="L39" s="141"/>
      <c r="M39" s="144"/>
      <c r="N39" s="144"/>
      <c r="O39" s="144"/>
      <c r="P39" s="144"/>
      <c r="Q39" s="144"/>
      <c r="R39" s="144"/>
      <c r="S39" s="147"/>
      <c r="T39" s="147"/>
      <c r="U39" s="147"/>
      <c r="V39" s="147"/>
      <c r="W39" s="115"/>
      <c r="X39" s="115"/>
      <c r="Y39" s="115"/>
      <c r="Z39" s="144"/>
      <c r="AA39" s="114"/>
      <c r="AB39" s="144"/>
      <c r="AC39" s="114"/>
      <c r="AD39" s="144"/>
      <c r="AE39" s="144"/>
      <c r="AF39" s="114"/>
      <c r="AG39" s="60"/>
    </row>
    <row r="40" spans="1:33" s="88" customFormat="1" ht="15" x14ac:dyDescent="0.2">
      <c r="A40" s="59"/>
      <c r="B40" s="114"/>
      <c r="C40" s="114"/>
      <c r="D40" s="138"/>
      <c r="E40" s="138"/>
      <c r="F40" s="138"/>
      <c r="G40" s="138"/>
      <c r="H40" s="138"/>
      <c r="I40" s="138"/>
      <c r="J40" s="138" t="str">
        <f t="shared" si="0"/>
        <v/>
      </c>
      <c r="K40" s="141"/>
      <c r="L40" s="141"/>
      <c r="M40" s="144"/>
      <c r="N40" s="144"/>
      <c r="O40" s="144"/>
      <c r="P40" s="144"/>
      <c r="Q40" s="144"/>
      <c r="R40" s="144"/>
      <c r="S40" s="147"/>
      <c r="T40" s="147"/>
      <c r="U40" s="147"/>
      <c r="V40" s="147"/>
      <c r="W40" s="115"/>
      <c r="X40" s="115"/>
      <c r="Y40" s="115"/>
      <c r="Z40" s="144"/>
      <c r="AA40" s="114"/>
      <c r="AB40" s="144"/>
      <c r="AC40" s="114"/>
      <c r="AD40" s="144"/>
      <c r="AE40" s="144"/>
      <c r="AF40" s="114"/>
      <c r="AG40" s="60"/>
    </row>
    <row r="41" spans="1:33" s="88" customFormat="1" ht="15" x14ac:dyDescent="0.2">
      <c r="A41" s="59"/>
      <c r="B41" s="114"/>
      <c r="C41" s="114"/>
      <c r="D41" s="138"/>
      <c r="E41" s="138"/>
      <c r="F41" s="138"/>
      <c r="G41" s="138"/>
      <c r="H41" s="138"/>
      <c r="I41" s="138"/>
      <c r="J41" s="138" t="str">
        <f t="shared" si="0"/>
        <v/>
      </c>
      <c r="K41" s="141"/>
      <c r="L41" s="141"/>
      <c r="M41" s="144"/>
      <c r="N41" s="144"/>
      <c r="O41" s="144"/>
      <c r="P41" s="144"/>
      <c r="Q41" s="144"/>
      <c r="R41" s="144"/>
      <c r="S41" s="147"/>
      <c r="T41" s="147"/>
      <c r="U41" s="147"/>
      <c r="V41" s="147"/>
      <c r="W41" s="115"/>
      <c r="X41" s="115"/>
      <c r="Y41" s="115"/>
      <c r="Z41" s="144"/>
      <c r="AA41" s="114"/>
      <c r="AB41" s="144"/>
      <c r="AC41" s="114"/>
      <c r="AD41" s="144"/>
      <c r="AE41" s="144"/>
      <c r="AF41" s="114"/>
      <c r="AG41" s="60"/>
    </row>
    <row r="42" spans="1:33" s="88" customFormat="1" ht="15" x14ac:dyDescent="0.2">
      <c r="A42" s="59"/>
      <c r="B42" s="114"/>
      <c r="C42" s="114"/>
      <c r="D42" s="138"/>
      <c r="E42" s="138"/>
      <c r="F42" s="138"/>
      <c r="G42" s="138"/>
      <c r="H42" s="138"/>
      <c r="I42" s="138"/>
      <c r="J42" s="138" t="str">
        <f t="shared" si="0"/>
        <v/>
      </c>
      <c r="K42" s="141"/>
      <c r="L42" s="141"/>
      <c r="M42" s="144"/>
      <c r="N42" s="144"/>
      <c r="O42" s="144"/>
      <c r="P42" s="144"/>
      <c r="Q42" s="144"/>
      <c r="R42" s="144"/>
      <c r="S42" s="147"/>
      <c r="T42" s="147"/>
      <c r="U42" s="147"/>
      <c r="V42" s="147"/>
      <c r="W42" s="115"/>
      <c r="X42" s="115"/>
      <c r="Y42" s="115"/>
      <c r="Z42" s="144"/>
      <c r="AA42" s="114"/>
      <c r="AB42" s="144"/>
      <c r="AC42" s="114"/>
      <c r="AD42" s="144"/>
      <c r="AE42" s="144"/>
      <c r="AF42" s="114"/>
      <c r="AG42" s="60"/>
    </row>
    <row r="43" spans="1:33" s="88" customFormat="1" ht="15" x14ac:dyDescent="0.2">
      <c r="A43" s="59"/>
      <c r="B43" s="114"/>
      <c r="C43" s="114"/>
      <c r="D43" s="138"/>
      <c r="E43" s="138"/>
      <c r="F43" s="138"/>
      <c r="G43" s="138"/>
      <c r="H43" s="138"/>
      <c r="I43" s="138"/>
      <c r="J43" s="138" t="str">
        <f t="shared" si="0"/>
        <v/>
      </c>
      <c r="K43" s="141"/>
      <c r="L43" s="141"/>
      <c r="M43" s="144"/>
      <c r="N43" s="144"/>
      <c r="O43" s="144"/>
      <c r="P43" s="144"/>
      <c r="Q43" s="144"/>
      <c r="R43" s="144"/>
      <c r="S43" s="147"/>
      <c r="T43" s="147"/>
      <c r="U43" s="147"/>
      <c r="V43" s="147"/>
      <c r="W43" s="115"/>
      <c r="X43" s="115"/>
      <c r="Y43" s="115"/>
      <c r="Z43" s="144"/>
      <c r="AA43" s="114"/>
      <c r="AB43" s="144"/>
      <c r="AC43" s="114"/>
      <c r="AD43" s="144"/>
      <c r="AE43" s="144"/>
      <c r="AF43" s="114"/>
      <c r="AG43" s="60"/>
    </row>
    <row r="44" spans="1:33" s="88" customFormat="1" ht="15" x14ac:dyDescent="0.2">
      <c r="A44" s="59"/>
      <c r="B44" s="114"/>
      <c r="C44" s="114"/>
      <c r="D44" s="138"/>
      <c r="E44" s="138"/>
      <c r="F44" s="138"/>
      <c r="G44" s="138"/>
      <c r="H44" s="138"/>
      <c r="I44" s="138"/>
      <c r="J44" s="138" t="str">
        <f t="shared" si="0"/>
        <v/>
      </c>
      <c r="K44" s="141"/>
      <c r="L44" s="141"/>
      <c r="M44" s="144"/>
      <c r="N44" s="144"/>
      <c r="O44" s="144"/>
      <c r="P44" s="144"/>
      <c r="Q44" s="144"/>
      <c r="R44" s="144"/>
      <c r="S44" s="147"/>
      <c r="T44" s="147"/>
      <c r="U44" s="147"/>
      <c r="V44" s="147"/>
      <c r="W44" s="115"/>
      <c r="X44" s="115"/>
      <c r="Y44" s="115"/>
      <c r="Z44" s="144"/>
      <c r="AA44" s="114"/>
      <c r="AB44" s="144"/>
      <c r="AC44" s="114"/>
      <c r="AD44" s="144"/>
      <c r="AE44" s="144"/>
      <c r="AF44" s="114"/>
      <c r="AG44" s="60"/>
    </row>
    <row r="45" spans="1:33" s="88" customFormat="1" ht="15" x14ac:dyDescent="0.2">
      <c r="A45" s="59"/>
      <c r="B45" s="114"/>
      <c r="C45" s="114"/>
      <c r="D45" s="138"/>
      <c r="E45" s="138"/>
      <c r="F45" s="138"/>
      <c r="G45" s="138"/>
      <c r="H45" s="138"/>
      <c r="I45" s="138"/>
      <c r="J45" s="138" t="str">
        <f t="shared" si="0"/>
        <v/>
      </c>
      <c r="K45" s="141"/>
      <c r="L45" s="141"/>
      <c r="M45" s="144"/>
      <c r="N45" s="144"/>
      <c r="O45" s="144"/>
      <c r="P45" s="144"/>
      <c r="Q45" s="144"/>
      <c r="R45" s="144"/>
      <c r="S45" s="147"/>
      <c r="T45" s="147"/>
      <c r="U45" s="147"/>
      <c r="V45" s="147"/>
      <c r="W45" s="115"/>
      <c r="X45" s="115"/>
      <c r="Y45" s="115"/>
      <c r="Z45" s="144"/>
      <c r="AA45" s="114"/>
      <c r="AB45" s="144"/>
      <c r="AC45" s="114"/>
      <c r="AD45" s="144"/>
      <c r="AE45" s="144"/>
      <c r="AF45" s="114"/>
      <c r="AG45" s="60"/>
    </row>
    <row r="46" spans="1:33" s="88" customFormat="1" ht="15" x14ac:dyDescent="0.2">
      <c r="A46" s="59"/>
      <c r="B46" s="114"/>
      <c r="C46" s="114"/>
      <c r="D46" s="138"/>
      <c r="E46" s="138"/>
      <c r="F46" s="138"/>
      <c r="G46" s="138"/>
      <c r="H46" s="138"/>
      <c r="I46" s="138"/>
      <c r="J46" s="138" t="str">
        <f t="shared" si="0"/>
        <v/>
      </c>
      <c r="K46" s="141"/>
      <c r="L46" s="141"/>
      <c r="M46" s="144"/>
      <c r="N46" s="144"/>
      <c r="O46" s="144"/>
      <c r="P46" s="144"/>
      <c r="Q46" s="144"/>
      <c r="R46" s="144"/>
      <c r="S46" s="147"/>
      <c r="T46" s="147"/>
      <c r="U46" s="147"/>
      <c r="V46" s="147"/>
      <c r="W46" s="115"/>
      <c r="X46" s="115"/>
      <c r="Y46" s="115"/>
      <c r="Z46" s="144"/>
      <c r="AA46" s="114"/>
      <c r="AB46" s="144"/>
      <c r="AC46" s="114"/>
      <c r="AD46" s="144"/>
      <c r="AE46" s="144"/>
      <c r="AF46" s="114"/>
      <c r="AG46" s="60"/>
    </row>
    <row r="47" spans="1:33" s="88" customFormat="1" ht="15" x14ac:dyDescent="0.2">
      <c r="A47" s="59"/>
      <c r="B47" s="114"/>
      <c r="C47" s="114"/>
      <c r="D47" s="138"/>
      <c r="E47" s="138"/>
      <c r="F47" s="138"/>
      <c r="G47" s="138"/>
      <c r="H47" s="138"/>
      <c r="I47" s="138"/>
      <c r="J47" s="138" t="str">
        <f t="shared" si="0"/>
        <v/>
      </c>
      <c r="K47" s="141"/>
      <c r="L47" s="141"/>
      <c r="M47" s="144"/>
      <c r="N47" s="144"/>
      <c r="O47" s="144"/>
      <c r="P47" s="144"/>
      <c r="Q47" s="144"/>
      <c r="R47" s="144"/>
      <c r="S47" s="147"/>
      <c r="T47" s="147"/>
      <c r="U47" s="147"/>
      <c r="V47" s="147"/>
      <c r="W47" s="115"/>
      <c r="X47" s="115"/>
      <c r="Y47" s="115"/>
      <c r="Z47" s="144"/>
      <c r="AA47" s="114"/>
      <c r="AB47" s="144"/>
      <c r="AC47" s="114"/>
      <c r="AD47" s="144"/>
      <c r="AE47" s="144"/>
      <c r="AF47" s="114"/>
      <c r="AG47" s="60"/>
    </row>
    <row r="48" spans="1:33" s="88" customFormat="1" ht="15" x14ac:dyDescent="0.2">
      <c r="A48" s="59"/>
      <c r="B48" s="114"/>
      <c r="C48" s="114"/>
      <c r="D48" s="138"/>
      <c r="E48" s="138"/>
      <c r="F48" s="138"/>
      <c r="G48" s="138"/>
      <c r="H48" s="138"/>
      <c r="I48" s="138"/>
      <c r="J48" s="138" t="str">
        <f t="shared" si="0"/>
        <v/>
      </c>
      <c r="K48" s="141"/>
      <c r="L48" s="141"/>
      <c r="M48" s="144"/>
      <c r="N48" s="144"/>
      <c r="O48" s="144"/>
      <c r="P48" s="144"/>
      <c r="Q48" s="144"/>
      <c r="R48" s="144"/>
      <c r="S48" s="147"/>
      <c r="T48" s="147"/>
      <c r="U48" s="147"/>
      <c r="V48" s="147"/>
      <c r="W48" s="115"/>
      <c r="X48" s="115"/>
      <c r="Y48" s="115"/>
      <c r="Z48" s="144"/>
      <c r="AA48" s="114"/>
      <c r="AB48" s="144"/>
      <c r="AC48" s="114"/>
      <c r="AD48" s="144"/>
      <c r="AE48" s="144"/>
      <c r="AF48" s="114"/>
      <c r="AG48" s="60"/>
    </row>
    <row r="49" spans="1:33" s="88" customFormat="1" ht="15" x14ac:dyDescent="0.2">
      <c r="A49" s="59"/>
      <c r="B49" s="114"/>
      <c r="C49" s="114"/>
      <c r="D49" s="138"/>
      <c r="E49" s="138"/>
      <c r="F49" s="138"/>
      <c r="G49" s="138"/>
      <c r="H49" s="138"/>
      <c r="I49" s="138"/>
      <c r="J49" s="138" t="str">
        <f t="shared" si="0"/>
        <v/>
      </c>
      <c r="K49" s="141"/>
      <c r="L49" s="141"/>
      <c r="M49" s="144"/>
      <c r="N49" s="144"/>
      <c r="O49" s="144"/>
      <c r="P49" s="144"/>
      <c r="Q49" s="144"/>
      <c r="R49" s="144"/>
      <c r="S49" s="147"/>
      <c r="T49" s="147"/>
      <c r="U49" s="147"/>
      <c r="V49" s="147"/>
      <c r="W49" s="115"/>
      <c r="X49" s="115"/>
      <c r="Y49" s="115"/>
      <c r="Z49" s="144"/>
      <c r="AA49" s="114"/>
      <c r="AB49" s="144"/>
      <c r="AC49" s="114"/>
      <c r="AD49" s="144"/>
      <c r="AE49" s="144"/>
      <c r="AF49" s="114"/>
      <c r="AG49" s="60"/>
    </row>
    <row r="50" spans="1:33" s="88" customFormat="1" ht="15" x14ac:dyDescent="0.2">
      <c r="A50" s="59"/>
      <c r="B50" s="114"/>
      <c r="C50" s="114"/>
      <c r="D50" s="138"/>
      <c r="E50" s="138"/>
      <c r="F50" s="138"/>
      <c r="G50" s="138"/>
      <c r="H50" s="138"/>
      <c r="I50" s="138"/>
      <c r="J50" s="138" t="str">
        <f t="shared" si="0"/>
        <v/>
      </c>
      <c r="K50" s="141"/>
      <c r="L50" s="141"/>
      <c r="M50" s="144"/>
      <c r="N50" s="144"/>
      <c r="O50" s="144"/>
      <c r="P50" s="144"/>
      <c r="Q50" s="144"/>
      <c r="R50" s="144"/>
      <c r="S50" s="147"/>
      <c r="T50" s="147"/>
      <c r="U50" s="147"/>
      <c r="V50" s="147"/>
      <c r="W50" s="115"/>
      <c r="X50" s="115"/>
      <c r="Y50" s="115"/>
      <c r="Z50" s="144"/>
      <c r="AA50" s="114"/>
      <c r="AB50" s="144"/>
      <c r="AC50" s="114"/>
      <c r="AD50" s="144"/>
      <c r="AE50" s="144"/>
      <c r="AF50" s="114"/>
      <c r="AG50" s="60"/>
    </row>
    <row r="51" spans="1:33" s="88" customFormat="1" ht="15" x14ac:dyDescent="0.2">
      <c r="A51" s="59"/>
      <c r="B51" s="114"/>
      <c r="C51" s="114"/>
      <c r="D51" s="138"/>
      <c r="E51" s="138"/>
      <c r="F51" s="138"/>
      <c r="G51" s="138"/>
      <c r="H51" s="138"/>
      <c r="I51" s="138"/>
      <c r="J51" s="138" t="str">
        <f t="shared" si="0"/>
        <v/>
      </c>
      <c r="K51" s="141"/>
      <c r="L51" s="141"/>
      <c r="M51" s="144"/>
      <c r="N51" s="144"/>
      <c r="O51" s="144"/>
      <c r="P51" s="144"/>
      <c r="Q51" s="144"/>
      <c r="R51" s="144"/>
      <c r="S51" s="147"/>
      <c r="T51" s="147"/>
      <c r="U51" s="147"/>
      <c r="V51" s="147"/>
      <c r="W51" s="115"/>
      <c r="X51" s="115"/>
      <c r="Y51" s="115"/>
      <c r="Z51" s="144"/>
      <c r="AA51" s="114"/>
      <c r="AB51" s="144"/>
      <c r="AC51" s="114"/>
      <c r="AD51" s="144"/>
      <c r="AE51" s="144"/>
      <c r="AF51" s="114"/>
      <c r="AG51" s="60"/>
    </row>
    <row r="52" spans="1:33" s="88" customFormat="1" ht="15" x14ac:dyDescent="0.2">
      <c r="A52" s="59"/>
      <c r="B52" s="114"/>
      <c r="C52" s="114"/>
      <c r="D52" s="138"/>
      <c r="E52" s="138"/>
      <c r="F52" s="138"/>
      <c r="G52" s="138"/>
      <c r="H52" s="138"/>
      <c r="I52" s="138"/>
      <c r="J52" s="138" t="str">
        <f t="shared" si="0"/>
        <v/>
      </c>
      <c r="K52" s="141"/>
      <c r="L52" s="141"/>
      <c r="M52" s="144"/>
      <c r="N52" s="144"/>
      <c r="O52" s="144"/>
      <c r="P52" s="144"/>
      <c r="Q52" s="144"/>
      <c r="R52" s="144"/>
      <c r="S52" s="147"/>
      <c r="T52" s="147"/>
      <c r="U52" s="147"/>
      <c r="V52" s="147"/>
      <c r="W52" s="115"/>
      <c r="X52" s="115"/>
      <c r="Y52" s="115"/>
      <c r="Z52" s="144"/>
      <c r="AA52" s="114"/>
      <c r="AB52" s="144"/>
      <c r="AC52" s="114"/>
      <c r="AD52" s="144"/>
      <c r="AE52" s="144"/>
      <c r="AF52" s="114"/>
      <c r="AG52" s="60"/>
    </row>
    <row r="53" spans="1:33" s="88" customFormat="1" ht="15" x14ac:dyDescent="0.2">
      <c r="A53" s="59"/>
      <c r="B53" s="114"/>
      <c r="C53" s="114"/>
      <c r="D53" s="138"/>
      <c r="E53" s="138"/>
      <c r="F53" s="138"/>
      <c r="G53" s="138"/>
      <c r="H53" s="138"/>
      <c r="I53" s="138"/>
      <c r="J53" s="138" t="str">
        <f t="shared" si="0"/>
        <v/>
      </c>
      <c r="K53" s="141"/>
      <c r="L53" s="141"/>
      <c r="M53" s="144"/>
      <c r="N53" s="144"/>
      <c r="O53" s="144"/>
      <c r="P53" s="144"/>
      <c r="Q53" s="144"/>
      <c r="R53" s="144"/>
      <c r="S53" s="147"/>
      <c r="T53" s="147"/>
      <c r="U53" s="147"/>
      <c r="V53" s="147"/>
      <c r="W53" s="115"/>
      <c r="X53" s="115"/>
      <c r="Y53" s="115"/>
      <c r="Z53" s="144"/>
      <c r="AA53" s="114"/>
      <c r="AB53" s="144"/>
      <c r="AC53" s="114"/>
      <c r="AD53" s="144"/>
      <c r="AE53" s="144"/>
      <c r="AF53" s="114"/>
      <c r="AG53" s="60"/>
    </row>
    <row r="54" spans="1:33" s="88" customFormat="1" ht="15" x14ac:dyDescent="0.2">
      <c r="A54" s="59"/>
      <c r="B54" s="114"/>
      <c r="C54" s="114"/>
      <c r="D54" s="138"/>
      <c r="E54" s="138"/>
      <c r="F54" s="138"/>
      <c r="G54" s="138"/>
      <c r="H54" s="138"/>
      <c r="I54" s="138"/>
      <c r="J54" s="138" t="str">
        <f t="shared" si="0"/>
        <v/>
      </c>
      <c r="K54" s="141"/>
      <c r="L54" s="141"/>
      <c r="M54" s="144"/>
      <c r="N54" s="144"/>
      <c r="O54" s="144"/>
      <c r="P54" s="144"/>
      <c r="Q54" s="144"/>
      <c r="R54" s="144"/>
      <c r="S54" s="147"/>
      <c r="T54" s="147"/>
      <c r="U54" s="147"/>
      <c r="V54" s="147"/>
      <c r="W54" s="115"/>
      <c r="X54" s="115"/>
      <c r="Y54" s="115"/>
      <c r="Z54" s="144"/>
      <c r="AA54" s="114"/>
      <c r="AB54" s="144"/>
      <c r="AC54" s="114"/>
      <c r="AD54" s="144"/>
      <c r="AE54" s="144"/>
      <c r="AF54" s="114"/>
      <c r="AG54" s="60"/>
    </row>
    <row r="55" spans="1:33" s="88" customFormat="1" ht="15" x14ac:dyDescent="0.2">
      <c r="A55" s="59"/>
      <c r="B55" s="114"/>
      <c r="C55" s="114"/>
      <c r="D55" s="138"/>
      <c r="E55" s="138"/>
      <c r="F55" s="138"/>
      <c r="G55" s="138"/>
      <c r="H55" s="138"/>
      <c r="I55" s="138"/>
      <c r="J55" s="138" t="str">
        <f t="shared" si="0"/>
        <v/>
      </c>
      <c r="K55" s="141"/>
      <c r="L55" s="141"/>
      <c r="M55" s="144"/>
      <c r="N55" s="144"/>
      <c r="O55" s="144"/>
      <c r="P55" s="144"/>
      <c r="Q55" s="144"/>
      <c r="R55" s="144"/>
      <c r="S55" s="147"/>
      <c r="T55" s="147"/>
      <c r="U55" s="147"/>
      <c r="V55" s="147"/>
      <c r="W55" s="115"/>
      <c r="X55" s="115"/>
      <c r="Y55" s="115"/>
      <c r="Z55" s="144"/>
      <c r="AA55" s="114"/>
      <c r="AB55" s="144"/>
      <c r="AC55" s="114"/>
      <c r="AD55" s="144"/>
      <c r="AE55" s="144"/>
      <c r="AF55" s="114"/>
      <c r="AG55" s="60"/>
    </row>
    <row r="56" spans="1:33" s="88" customFormat="1" ht="15" x14ac:dyDescent="0.2">
      <c r="A56" s="59"/>
      <c r="B56" s="114"/>
      <c r="C56" s="114"/>
      <c r="D56" s="138"/>
      <c r="E56" s="138"/>
      <c r="F56" s="138"/>
      <c r="G56" s="138"/>
      <c r="H56" s="138"/>
      <c r="I56" s="138"/>
      <c r="J56" s="138" t="str">
        <f t="shared" si="0"/>
        <v/>
      </c>
      <c r="K56" s="141"/>
      <c r="L56" s="141"/>
      <c r="M56" s="144"/>
      <c r="N56" s="144"/>
      <c r="O56" s="144"/>
      <c r="P56" s="144"/>
      <c r="Q56" s="144"/>
      <c r="R56" s="144"/>
      <c r="S56" s="147"/>
      <c r="T56" s="147"/>
      <c r="U56" s="147"/>
      <c r="V56" s="147"/>
      <c r="W56" s="115"/>
      <c r="X56" s="115"/>
      <c r="Y56" s="115"/>
      <c r="Z56" s="144"/>
      <c r="AA56" s="114"/>
      <c r="AB56" s="144"/>
      <c r="AC56" s="114"/>
      <c r="AD56" s="144"/>
      <c r="AE56" s="144"/>
      <c r="AF56" s="114"/>
      <c r="AG56" s="60"/>
    </row>
    <row r="57" spans="1:33" s="88" customFormat="1" ht="15" x14ac:dyDescent="0.2">
      <c r="A57" s="59"/>
      <c r="B57" s="114"/>
      <c r="C57" s="114"/>
      <c r="D57" s="138"/>
      <c r="E57" s="138"/>
      <c r="F57" s="138"/>
      <c r="G57" s="138"/>
      <c r="H57" s="138"/>
      <c r="I57" s="138"/>
      <c r="J57" s="138" t="str">
        <f t="shared" si="0"/>
        <v/>
      </c>
      <c r="K57" s="141"/>
      <c r="L57" s="141"/>
      <c r="M57" s="144"/>
      <c r="N57" s="144"/>
      <c r="O57" s="144"/>
      <c r="P57" s="144"/>
      <c r="Q57" s="144"/>
      <c r="R57" s="144"/>
      <c r="S57" s="147"/>
      <c r="T57" s="147"/>
      <c r="U57" s="147"/>
      <c r="V57" s="147"/>
      <c r="W57" s="115"/>
      <c r="X57" s="115"/>
      <c r="Y57" s="115"/>
      <c r="Z57" s="144"/>
      <c r="AA57" s="114"/>
      <c r="AB57" s="144"/>
      <c r="AC57" s="114"/>
      <c r="AD57" s="144"/>
      <c r="AE57" s="144"/>
      <c r="AF57" s="114"/>
      <c r="AG57" s="60"/>
    </row>
    <row r="58" spans="1:33" s="88" customFormat="1" ht="15" x14ac:dyDescent="0.2">
      <c r="A58" s="59"/>
      <c r="B58" s="114"/>
      <c r="C58" s="114"/>
      <c r="D58" s="138"/>
      <c r="E58" s="138"/>
      <c r="F58" s="138"/>
      <c r="G58" s="138"/>
      <c r="H58" s="138"/>
      <c r="I58" s="138"/>
      <c r="J58" s="138" t="str">
        <f t="shared" si="0"/>
        <v/>
      </c>
      <c r="K58" s="141"/>
      <c r="L58" s="141"/>
      <c r="M58" s="144"/>
      <c r="N58" s="144"/>
      <c r="O58" s="144"/>
      <c r="P58" s="144"/>
      <c r="Q58" s="144"/>
      <c r="R58" s="144"/>
      <c r="S58" s="147"/>
      <c r="T58" s="147"/>
      <c r="U58" s="147"/>
      <c r="V58" s="147"/>
      <c r="W58" s="115"/>
      <c r="X58" s="115"/>
      <c r="Y58" s="115"/>
      <c r="Z58" s="144"/>
      <c r="AA58" s="114"/>
      <c r="AB58" s="144"/>
      <c r="AC58" s="114"/>
      <c r="AD58" s="144"/>
      <c r="AE58" s="144"/>
      <c r="AF58" s="114"/>
      <c r="AG58" s="60"/>
    </row>
    <row r="59" spans="1:33" s="88" customFormat="1" ht="15" x14ac:dyDescent="0.2">
      <c r="A59" s="59"/>
      <c r="B59" s="114"/>
      <c r="C59" s="114"/>
      <c r="D59" s="138"/>
      <c r="E59" s="138"/>
      <c r="F59" s="138"/>
      <c r="G59" s="138"/>
      <c r="H59" s="138"/>
      <c r="I59" s="138"/>
      <c r="J59" s="138" t="str">
        <f t="shared" si="0"/>
        <v/>
      </c>
      <c r="K59" s="141"/>
      <c r="L59" s="141"/>
      <c r="M59" s="144"/>
      <c r="N59" s="144"/>
      <c r="O59" s="144"/>
      <c r="P59" s="144"/>
      <c r="Q59" s="144"/>
      <c r="R59" s="144"/>
      <c r="S59" s="147"/>
      <c r="T59" s="147"/>
      <c r="U59" s="147"/>
      <c r="V59" s="147"/>
      <c r="W59" s="115"/>
      <c r="X59" s="115"/>
      <c r="Y59" s="115"/>
      <c r="Z59" s="144"/>
      <c r="AA59" s="114"/>
      <c r="AB59" s="144"/>
      <c r="AC59" s="114"/>
      <c r="AD59" s="144"/>
      <c r="AE59" s="144"/>
      <c r="AF59" s="114"/>
      <c r="AG59" s="60"/>
    </row>
    <row r="60" spans="1:33" s="88" customFormat="1" ht="15" x14ac:dyDescent="0.2">
      <c r="A60" s="59"/>
      <c r="B60" s="114"/>
      <c r="C60" s="114"/>
      <c r="D60" s="138"/>
      <c r="E60" s="138"/>
      <c r="F60" s="138"/>
      <c r="G60" s="138"/>
      <c r="H60" s="138"/>
      <c r="I60" s="138"/>
      <c r="J60" s="138" t="str">
        <f t="shared" si="0"/>
        <v/>
      </c>
      <c r="K60" s="141"/>
      <c r="L60" s="141"/>
      <c r="M60" s="144"/>
      <c r="N60" s="144"/>
      <c r="O60" s="144"/>
      <c r="P60" s="144"/>
      <c r="Q60" s="144"/>
      <c r="R60" s="144"/>
      <c r="S60" s="147"/>
      <c r="T60" s="147"/>
      <c r="U60" s="147"/>
      <c r="V60" s="147"/>
      <c r="W60" s="115"/>
      <c r="X60" s="115"/>
      <c r="Y60" s="115"/>
      <c r="Z60" s="144"/>
      <c r="AA60" s="114"/>
      <c r="AB60" s="144"/>
      <c r="AC60" s="114"/>
      <c r="AD60" s="144"/>
      <c r="AE60" s="144"/>
      <c r="AF60" s="114"/>
      <c r="AG60" s="60"/>
    </row>
    <row r="61" spans="1:33" s="88" customFormat="1" ht="15" x14ac:dyDescent="0.2">
      <c r="A61" s="59"/>
      <c r="B61" s="114"/>
      <c r="C61" s="114"/>
      <c r="D61" s="138"/>
      <c r="E61" s="138"/>
      <c r="F61" s="138"/>
      <c r="G61" s="138"/>
      <c r="H61" s="138"/>
      <c r="I61" s="138"/>
      <c r="J61" s="138" t="str">
        <f t="shared" si="0"/>
        <v/>
      </c>
      <c r="K61" s="141"/>
      <c r="L61" s="141"/>
      <c r="M61" s="144"/>
      <c r="N61" s="144"/>
      <c r="O61" s="144"/>
      <c r="P61" s="144"/>
      <c r="Q61" s="144"/>
      <c r="R61" s="144"/>
      <c r="S61" s="147"/>
      <c r="T61" s="147"/>
      <c r="U61" s="147"/>
      <c r="V61" s="147"/>
      <c r="W61" s="115"/>
      <c r="X61" s="115"/>
      <c r="Y61" s="115"/>
      <c r="Z61" s="144"/>
      <c r="AA61" s="114"/>
      <c r="AB61" s="144"/>
      <c r="AC61" s="114"/>
      <c r="AD61" s="144"/>
      <c r="AE61" s="144"/>
      <c r="AF61" s="114"/>
      <c r="AG61" s="60"/>
    </row>
    <row r="62" spans="1:33" s="88" customFormat="1" ht="15" x14ac:dyDescent="0.2">
      <c r="A62" s="59"/>
      <c r="B62" s="114"/>
      <c r="C62" s="114"/>
      <c r="D62" s="138"/>
      <c r="E62" s="138"/>
      <c r="F62" s="138"/>
      <c r="G62" s="138"/>
      <c r="H62" s="138"/>
      <c r="I62" s="138"/>
      <c r="J62" s="138" t="str">
        <f t="shared" si="0"/>
        <v/>
      </c>
      <c r="K62" s="141"/>
      <c r="L62" s="141"/>
      <c r="M62" s="144"/>
      <c r="N62" s="144"/>
      <c r="O62" s="144"/>
      <c r="P62" s="144"/>
      <c r="Q62" s="144"/>
      <c r="R62" s="144"/>
      <c r="S62" s="147"/>
      <c r="T62" s="147"/>
      <c r="U62" s="147"/>
      <c r="V62" s="147"/>
      <c r="W62" s="115"/>
      <c r="X62" s="115"/>
      <c r="Y62" s="115"/>
      <c r="Z62" s="144"/>
      <c r="AA62" s="114"/>
      <c r="AB62" s="144"/>
      <c r="AC62" s="114"/>
      <c r="AD62" s="144"/>
      <c r="AE62" s="144"/>
      <c r="AF62" s="114"/>
      <c r="AG62" s="60"/>
    </row>
    <row r="63" spans="1:33" s="88" customFormat="1" ht="15" x14ac:dyDescent="0.2">
      <c r="A63" s="59"/>
      <c r="B63" s="114"/>
      <c r="C63" s="114"/>
      <c r="D63" s="138"/>
      <c r="E63" s="138"/>
      <c r="F63" s="138"/>
      <c r="G63" s="138"/>
      <c r="H63" s="138"/>
      <c r="I63" s="138"/>
      <c r="J63" s="138" t="str">
        <f t="shared" si="0"/>
        <v/>
      </c>
      <c r="K63" s="141"/>
      <c r="L63" s="141"/>
      <c r="M63" s="144"/>
      <c r="N63" s="144"/>
      <c r="O63" s="144"/>
      <c r="P63" s="144"/>
      <c r="Q63" s="144"/>
      <c r="R63" s="144"/>
      <c r="S63" s="147"/>
      <c r="T63" s="147"/>
      <c r="U63" s="147"/>
      <c r="V63" s="147"/>
      <c r="W63" s="115"/>
      <c r="X63" s="115"/>
      <c r="Y63" s="115"/>
      <c r="Z63" s="144"/>
      <c r="AA63" s="114"/>
      <c r="AB63" s="144"/>
      <c r="AC63" s="114"/>
      <c r="AD63" s="144"/>
      <c r="AE63" s="144"/>
      <c r="AF63" s="114"/>
      <c r="AG63" s="60"/>
    </row>
    <row r="64" spans="1:33" s="88" customFormat="1" ht="15" x14ac:dyDescent="0.2">
      <c r="A64" s="59"/>
      <c r="B64" s="114"/>
      <c r="C64" s="114"/>
      <c r="D64" s="138"/>
      <c r="E64" s="138"/>
      <c r="F64" s="138"/>
      <c r="G64" s="138"/>
      <c r="H64" s="138"/>
      <c r="I64" s="138"/>
      <c r="J64" s="138" t="str">
        <f t="shared" si="0"/>
        <v/>
      </c>
      <c r="K64" s="141"/>
      <c r="L64" s="141"/>
      <c r="M64" s="144"/>
      <c r="N64" s="144"/>
      <c r="O64" s="144"/>
      <c r="P64" s="144"/>
      <c r="Q64" s="144"/>
      <c r="R64" s="144"/>
      <c r="S64" s="147"/>
      <c r="T64" s="147"/>
      <c r="U64" s="147"/>
      <c r="V64" s="147"/>
      <c r="W64" s="115"/>
      <c r="X64" s="115"/>
      <c r="Y64" s="115"/>
      <c r="Z64" s="144"/>
      <c r="AA64" s="114"/>
      <c r="AB64" s="144"/>
      <c r="AC64" s="114"/>
      <c r="AD64" s="144"/>
      <c r="AE64" s="144"/>
      <c r="AF64" s="114"/>
      <c r="AG64" s="60"/>
    </row>
    <row r="65" spans="1:33" s="88" customFormat="1" ht="15" x14ac:dyDescent="0.2">
      <c r="A65" s="59"/>
      <c r="B65" s="114"/>
      <c r="C65" s="114"/>
      <c r="D65" s="138"/>
      <c r="E65" s="138"/>
      <c r="F65" s="138"/>
      <c r="G65" s="138"/>
      <c r="H65" s="138"/>
      <c r="I65" s="138"/>
      <c r="J65" s="138" t="str">
        <f t="shared" si="0"/>
        <v/>
      </c>
      <c r="K65" s="141"/>
      <c r="L65" s="141"/>
      <c r="M65" s="144"/>
      <c r="N65" s="144"/>
      <c r="O65" s="144"/>
      <c r="P65" s="144"/>
      <c r="Q65" s="144"/>
      <c r="R65" s="144"/>
      <c r="S65" s="147"/>
      <c r="T65" s="147"/>
      <c r="U65" s="147"/>
      <c r="V65" s="147"/>
      <c r="W65" s="115"/>
      <c r="X65" s="115"/>
      <c r="Y65" s="115"/>
      <c r="Z65" s="144"/>
      <c r="AA65" s="114"/>
      <c r="AB65" s="144"/>
      <c r="AC65" s="114"/>
      <c r="AD65" s="144"/>
      <c r="AE65" s="144"/>
      <c r="AF65" s="114"/>
      <c r="AG65" s="60"/>
    </row>
    <row r="66" spans="1:33" s="88" customFormat="1" ht="15" x14ac:dyDescent="0.2">
      <c r="A66" s="59"/>
      <c r="B66" s="114"/>
      <c r="C66" s="114"/>
      <c r="D66" s="138"/>
      <c r="E66" s="138"/>
      <c r="F66" s="138"/>
      <c r="G66" s="138"/>
      <c r="H66" s="138"/>
      <c r="I66" s="138"/>
      <c r="J66" s="138" t="str">
        <f t="shared" si="0"/>
        <v/>
      </c>
      <c r="K66" s="141"/>
      <c r="L66" s="141"/>
      <c r="M66" s="144"/>
      <c r="N66" s="144"/>
      <c r="O66" s="144"/>
      <c r="P66" s="144"/>
      <c r="Q66" s="144"/>
      <c r="R66" s="144"/>
      <c r="S66" s="147"/>
      <c r="T66" s="147"/>
      <c r="U66" s="147"/>
      <c r="V66" s="147"/>
      <c r="W66" s="115"/>
      <c r="X66" s="115"/>
      <c r="Y66" s="115"/>
      <c r="Z66" s="144"/>
      <c r="AA66" s="114"/>
      <c r="AB66" s="144"/>
      <c r="AC66" s="114"/>
      <c r="AD66" s="144"/>
      <c r="AE66" s="144"/>
      <c r="AF66" s="114"/>
      <c r="AG66" s="60"/>
    </row>
    <row r="67" spans="1:33" s="88" customFormat="1" ht="15" x14ac:dyDescent="0.2">
      <c r="A67" s="59"/>
      <c r="B67" s="114"/>
      <c r="C67" s="114"/>
      <c r="D67" s="138"/>
      <c r="E67" s="138"/>
      <c r="F67" s="138"/>
      <c r="G67" s="138"/>
      <c r="H67" s="138"/>
      <c r="I67" s="138"/>
      <c r="J67" s="138" t="str">
        <f t="shared" si="0"/>
        <v/>
      </c>
      <c r="K67" s="141"/>
      <c r="L67" s="141"/>
      <c r="M67" s="144"/>
      <c r="N67" s="144"/>
      <c r="O67" s="144"/>
      <c r="P67" s="144"/>
      <c r="Q67" s="144"/>
      <c r="R67" s="144"/>
      <c r="S67" s="147"/>
      <c r="T67" s="147"/>
      <c r="U67" s="147"/>
      <c r="V67" s="147"/>
      <c r="W67" s="115"/>
      <c r="X67" s="115"/>
      <c r="Y67" s="115"/>
      <c r="Z67" s="144"/>
      <c r="AA67" s="114"/>
      <c r="AB67" s="144"/>
      <c r="AC67" s="114"/>
      <c r="AD67" s="144"/>
      <c r="AE67" s="144"/>
      <c r="AF67" s="114"/>
      <c r="AG67" s="60"/>
    </row>
    <row r="68" spans="1:33" s="88" customFormat="1" ht="15" x14ac:dyDescent="0.2">
      <c r="A68" s="59"/>
      <c r="B68" s="114"/>
      <c r="C68" s="114"/>
      <c r="D68" s="138"/>
      <c r="E68" s="138"/>
      <c r="F68" s="138"/>
      <c r="G68" s="138"/>
      <c r="H68" s="138"/>
      <c r="I68" s="138"/>
      <c r="J68" s="138" t="str">
        <f t="shared" si="0"/>
        <v/>
      </c>
      <c r="K68" s="141"/>
      <c r="L68" s="141"/>
      <c r="M68" s="144"/>
      <c r="N68" s="144"/>
      <c r="O68" s="144"/>
      <c r="P68" s="144"/>
      <c r="Q68" s="144"/>
      <c r="R68" s="144"/>
      <c r="S68" s="147"/>
      <c r="T68" s="147"/>
      <c r="U68" s="147"/>
      <c r="V68" s="147"/>
      <c r="W68" s="115"/>
      <c r="X68" s="115"/>
      <c r="Y68" s="115"/>
      <c r="Z68" s="144"/>
      <c r="AA68" s="114"/>
      <c r="AB68" s="144"/>
      <c r="AC68" s="114"/>
      <c r="AD68" s="144"/>
      <c r="AE68" s="144"/>
      <c r="AF68" s="114"/>
      <c r="AG68" s="60"/>
    </row>
    <row r="69" spans="1:33" s="88" customFormat="1" ht="15" x14ac:dyDescent="0.2">
      <c r="A69" s="59"/>
      <c r="B69" s="114"/>
      <c r="C69" s="114"/>
      <c r="D69" s="138"/>
      <c r="E69" s="138"/>
      <c r="F69" s="138"/>
      <c r="G69" s="138"/>
      <c r="H69" s="138"/>
      <c r="I69" s="138"/>
      <c r="J69" s="138" t="str">
        <f t="shared" si="0"/>
        <v/>
      </c>
      <c r="K69" s="141"/>
      <c r="L69" s="141"/>
      <c r="M69" s="144"/>
      <c r="N69" s="144"/>
      <c r="O69" s="144"/>
      <c r="P69" s="144"/>
      <c r="Q69" s="144"/>
      <c r="R69" s="144"/>
      <c r="S69" s="147"/>
      <c r="T69" s="147"/>
      <c r="U69" s="147"/>
      <c r="V69" s="147"/>
      <c r="W69" s="115"/>
      <c r="X69" s="115"/>
      <c r="Y69" s="115"/>
      <c r="Z69" s="144"/>
      <c r="AA69" s="114"/>
      <c r="AB69" s="144"/>
      <c r="AC69" s="114"/>
      <c r="AD69" s="144"/>
      <c r="AE69" s="144"/>
      <c r="AF69" s="114"/>
      <c r="AG69" s="60"/>
    </row>
    <row r="70" spans="1:33" s="88" customFormat="1" ht="15" x14ac:dyDescent="0.2">
      <c r="A70" s="59"/>
      <c r="B70" s="114"/>
      <c r="C70" s="114"/>
      <c r="D70" s="138"/>
      <c r="E70" s="138"/>
      <c r="F70" s="138"/>
      <c r="G70" s="138"/>
      <c r="H70" s="138"/>
      <c r="I70" s="138"/>
      <c r="J70" s="138" t="str">
        <f t="shared" si="0"/>
        <v/>
      </c>
      <c r="K70" s="141"/>
      <c r="L70" s="141"/>
      <c r="M70" s="144"/>
      <c r="N70" s="144"/>
      <c r="O70" s="144"/>
      <c r="P70" s="144"/>
      <c r="Q70" s="144"/>
      <c r="R70" s="144"/>
      <c r="S70" s="147"/>
      <c r="T70" s="147"/>
      <c r="U70" s="147"/>
      <c r="V70" s="147"/>
      <c r="W70" s="115"/>
      <c r="X70" s="115"/>
      <c r="Y70" s="115"/>
      <c r="Z70" s="144"/>
      <c r="AA70" s="114"/>
      <c r="AB70" s="144"/>
      <c r="AC70" s="114"/>
      <c r="AD70" s="144"/>
      <c r="AE70" s="144"/>
      <c r="AF70" s="114"/>
      <c r="AG70" s="60"/>
    </row>
    <row r="71" spans="1:33" s="88" customFormat="1" ht="15" x14ac:dyDescent="0.2">
      <c r="A71" s="59"/>
      <c r="B71" s="114"/>
      <c r="C71" s="114"/>
      <c r="D71" s="138"/>
      <c r="E71" s="138"/>
      <c r="F71" s="138"/>
      <c r="G71" s="138"/>
      <c r="H71" s="138"/>
      <c r="I71" s="138"/>
      <c r="J71" s="138" t="str">
        <f t="shared" si="0"/>
        <v/>
      </c>
      <c r="K71" s="141"/>
      <c r="L71" s="141"/>
      <c r="M71" s="144"/>
      <c r="N71" s="144"/>
      <c r="O71" s="144"/>
      <c r="P71" s="144"/>
      <c r="Q71" s="144"/>
      <c r="R71" s="144"/>
      <c r="S71" s="147"/>
      <c r="T71" s="147"/>
      <c r="U71" s="147"/>
      <c r="V71" s="147"/>
      <c r="W71" s="115"/>
      <c r="X71" s="115"/>
      <c r="Y71" s="115"/>
      <c r="Z71" s="144"/>
      <c r="AA71" s="114"/>
      <c r="AB71" s="144"/>
      <c r="AC71" s="114"/>
      <c r="AD71" s="144"/>
      <c r="AE71" s="144"/>
      <c r="AF71" s="114"/>
      <c r="AG71" s="60"/>
    </row>
    <row r="72" spans="1:33" s="88" customFormat="1" ht="15" x14ac:dyDescent="0.2">
      <c r="A72" s="59"/>
      <c r="B72" s="114"/>
      <c r="C72" s="114"/>
      <c r="D72" s="138"/>
      <c r="E72" s="138"/>
      <c r="F72" s="138"/>
      <c r="G72" s="138"/>
      <c r="H72" s="138"/>
      <c r="I72" s="138"/>
      <c r="J72" s="138" t="str">
        <f t="shared" si="0"/>
        <v/>
      </c>
      <c r="K72" s="141"/>
      <c r="L72" s="141"/>
      <c r="M72" s="144"/>
      <c r="N72" s="144"/>
      <c r="O72" s="144"/>
      <c r="P72" s="144"/>
      <c r="Q72" s="144"/>
      <c r="R72" s="144"/>
      <c r="S72" s="147"/>
      <c r="T72" s="147"/>
      <c r="U72" s="147"/>
      <c r="V72" s="147"/>
      <c r="W72" s="115"/>
      <c r="X72" s="115"/>
      <c r="Y72" s="115"/>
      <c r="Z72" s="144"/>
      <c r="AA72" s="114"/>
      <c r="AB72" s="144"/>
      <c r="AC72" s="114"/>
      <c r="AD72" s="144"/>
      <c r="AE72" s="144"/>
      <c r="AF72" s="114"/>
      <c r="AG72" s="60"/>
    </row>
    <row r="73" spans="1:33" s="88" customFormat="1" ht="15" x14ac:dyDescent="0.2">
      <c r="A73" s="59"/>
      <c r="B73" s="114"/>
      <c r="C73" s="114"/>
      <c r="D73" s="138"/>
      <c r="E73" s="138"/>
      <c r="F73" s="138"/>
      <c r="G73" s="138"/>
      <c r="H73" s="138"/>
      <c r="I73" s="138"/>
      <c r="J73" s="138" t="str">
        <f t="shared" si="0"/>
        <v/>
      </c>
      <c r="K73" s="141"/>
      <c r="L73" s="141"/>
      <c r="M73" s="144"/>
      <c r="N73" s="144"/>
      <c r="O73" s="144"/>
      <c r="P73" s="144"/>
      <c r="Q73" s="144"/>
      <c r="R73" s="144"/>
      <c r="S73" s="147"/>
      <c r="T73" s="147"/>
      <c r="U73" s="147"/>
      <c r="V73" s="147"/>
      <c r="W73" s="115"/>
      <c r="X73" s="115"/>
      <c r="Y73" s="115"/>
      <c r="Z73" s="144"/>
      <c r="AA73" s="114"/>
      <c r="AB73" s="144"/>
      <c r="AC73" s="114"/>
      <c r="AD73" s="144"/>
      <c r="AE73" s="144"/>
      <c r="AF73" s="114"/>
      <c r="AG73" s="60"/>
    </row>
    <row r="74" spans="1:33" s="88" customFormat="1" ht="15" x14ac:dyDescent="0.2">
      <c r="A74" s="59"/>
      <c r="B74" s="114"/>
      <c r="C74" s="114"/>
      <c r="D74" s="138"/>
      <c r="E74" s="138"/>
      <c r="F74" s="138"/>
      <c r="G74" s="138"/>
      <c r="H74" s="138"/>
      <c r="I74" s="138"/>
      <c r="J74" s="138" t="str">
        <f t="shared" si="0"/>
        <v/>
      </c>
      <c r="K74" s="141"/>
      <c r="L74" s="141"/>
      <c r="M74" s="144"/>
      <c r="N74" s="144"/>
      <c r="O74" s="144"/>
      <c r="P74" s="144"/>
      <c r="Q74" s="144"/>
      <c r="R74" s="144"/>
      <c r="S74" s="147"/>
      <c r="T74" s="147"/>
      <c r="U74" s="147"/>
      <c r="V74" s="147"/>
      <c r="W74" s="115"/>
      <c r="X74" s="115"/>
      <c r="Y74" s="115"/>
      <c r="Z74" s="144"/>
      <c r="AA74" s="114"/>
      <c r="AB74" s="144"/>
      <c r="AC74" s="114"/>
      <c r="AD74" s="144"/>
      <c r="AE74" s="144"/>
      <c r="AF74" s="114"/>
      <c r="AG74" s="60"/>
    </row>
    <row r="75" spans="1:33" s="88" customFormat="1" ht="15" x14ac:dyDescent="0.2">
      <c r="A75" s="59"/>
      <c r="B75" s="114"/>
      <c r="C75" s="114"/>
      <c r="D75" s="138"/>
      <c r="E75" s="138"/>
      <c r="F75" s="138"/>
      <c r="G75" s="138"/>
      <c r="H75" s="138"/>
      <c r="I75" s="138"/>
      <c r="J75" s="138" t="str">
        <f t="shared" si="0"/>
        <v/>
      </c>
      <c r="K75" s="141"/>
      <c r="L75" s="141"/>
      <c r="M75" s="144"/>
      <c r="N75" s="144"/>
      <c r="O75" s="144"/>
      <c r="P75" s="144"/>
      <c r="Q75" s="144"/>
      <c r="R75" s="144"/>
      <c r="S75" s="147"/>
      <c r="T75" s="147"/>
      <c r="U75" s="147"/>
      <c r="V75" s="147"/>
      <c r="W75" s="115"/>
      <c r="X75" s="115"/>
      <c r="Y75" s="115"/>
      <c r="Z75" s="144"/>
      <c r="AA75" s="114"/>
      <c r="AB75" s="144"/>
      <c r="AC75" s="114"/>
      <c r="AD75" s="144"/>
      <c r="AE75" s="144"/>
      <c r="AF75" s="114"/>
      <c r="AG75" s="60"/>
    </row>
    <row r="76" spans="1:33" s="88" customFormat="1" ht="15" x14ac:dyDescent="0.2">
      <c r="A76" s="59"/>
      <c r="B76" s="114"/>
      <c r="C76" s="114"/>
      <c r="D76" s="138"/>
      <c r="E76" s="138"/>
      <c r="F76" s="138"/>
      <c r="G76" s="138"/>
      <c r="H76" s="138"/>
      <c r="I76" s="138"/>
      <c r="J76" s="138" t="str">
        <f t="shared" si="0"/>
        <v/>
      </c>
      <c r="K76" s="141"/>
      <c r="L76" s="141"/>
      <c r="M76" s="144"/>
      <c r="N76" s="144"/>
      <c r="O76" s="144"/>
      <c r="P76" s="144"/>
      <c r="Q76" s="144"/>
      <c r="R76" s="144"/>
      <c r="S76" s="147"/>
      <c r="T76" s="147"/>
      <c r="U76" s="147"/>
      <c r="V76" s="147"/>
      <c r="W76" s="115"/>
      <c r="X76" s="115"/>
      <c r="Y76" s="115"/>
      <c r="Z76" s="144"/>
      <c r="AA76" s="114"/>
      <c r="AB76" s="144"/>
      <c r="AC76" s="114"/>
      <c r="AD76" s="144"/>
      <c r="AE76" s="144"/>
      <c r="AF76" s="114"/>
      <c r="AG76" s="60"/>
    </row>
    <row r="77" spans="1:33" s="88" customFormat="1" ht="15" x14ac:dyDescent="0.2">
      <c r="A77" s="59"/>
      <c r="B77" s="114"/>
      <c r="C77" s="114"/>
      <c r="D77" s="138"/>
      <c r="E77" s="138"/>
      <c r="F77" s="138"/>
      <c r="G77" s="138"/>
      <c r="H77" s="138"/>
      <c r="I77" s="138"/>
      <c r="J77" s="138" t="str">
        <f t="shared" si="0"/>
        <v/>
      </c>
      <c r="K77" s="141"/>
      <c r="L77" s="141"/>
      <c r="M77" s="144"/>
      <c r="N77" s="144"/>
      <c r="O77" s="144"/>
      <c r="P77" s="144"/>
      <c r="Q77" s="144"/>
      <c r="R77" s="144"/>
      <c r="S77" s="147"/>
      <c r="T77" s="147"/>
      <c r="U77" s="147"/>
      <c r="V77" s="147"/>
      <c r="W77" s="115"/>
      <c r="X77" s="115"/>
      <c r="Y77" s="115"/>
      <c r="Z77" s="144"/>
      <c r="AA77" s="114"/>
      <c r="AB77" s="144"/>
      <c r="AC77" s="114"/>
      <c r="AD77" s="144"/>
      <c r="AE77" s="144"/>
      <c r="AF77" s="114"/>
      <c r="AG77" s="60"/>
    </row>
    <row r="78" spans="1:33" s="88" customFormat="1" ht="15" x14ac:dyDescent="0.2">
      <c r="A78" s="59"/>
      <c r="B78" s="114"/>
      <c r="C78" s="114"/>
      <c r="D78" s="138"/>
      <c r="E78" s="138"/>
      <c r="F78" s="138"/>
      <c r="G78" s="138"/>
      <c r="H78" s="138"/>
      <c r="I78" s="138"/>
      <c r="J78" s="138" t="str">
        <f t="shared" si="0"/>
        <v/>
      </c>
      <c r="K78" s="141"/>
      <c r="L78" s="141"/>
      <c r="M78" s="144"/>
      <c r="N78" s="144"/>
      <c r="O78" s="144"/>
      <c r="P78" s="144"/>
      <c r="Q78" s="144"/>
      <c r="R78" s="144"/>
      <c r="S78" s="147"/>
      <c r="T78" s="147"/>
      <c r="U78" s="147"/>
      <c r="V78" s="147"/>
      <c r="W78" s="115"/>
      <c r="X78" s="115"/>
      <c r="Y78" s="115"/>
      <c r="Z78" s="144"/>
      <c r="AA78" s="114"/>
      <c r="AB78" s="144"/>
      <c r="AC78" s="114"/>
      <c r="AD78" s="144"/>
      <c r="AE78" s="144"/>
      <c r="AF78" s="114"/>
      <c r="AG78" s="60"/>
    </row>
    <row r="79" spans="1:33" s="88" customFormat="1" ht="15" x14ac:dyDescent="0.2">
      <c r="A79" s="59"/>
      <c r="B79" s="114"/>
      <c r="C79" s="114"/>
      <c r="D79" s="138"/>
      <c r="E79" s="138"/>
      <c r="F79" s="138"/>
      <c r="G79" s="138"/>
      <c r="H79" s="138"/>
      <c r="I79" s="138"/>
      <c r="J79" s="138" t="str">
        <f t="shared" si="0"/>
        <v/>
      </c>
      <c r="K79" s="141"/>
      <c r="L79" s="141"/>
      <c r="M79" s="144"/>
      <c r="N79" s="144"/>
      <c r="O79" s="144"/>
      <c r="P79" s="144"/>
      <c r="Q79" s="144"/>
      <c r="R79" s="144"/>
      <c r="S79" s="147"/>
      <c r="T79" s="147"/>
      <c r="U79" s="147"/>
      <c r="V79" s="147"/>
      <c r="W79" s="115"/>
      <c r="X79" s="115"/>
      <c r="Y79" s="115"/>
      <c r="Z79" s="144"/>
      <c r="AA79" s="114"/>
      <c r="AB79" s="144"/>
      <c r="AC79" s="114"/>
      <c r="AD79" s="144"/>
      <c r="AE79" s="144"/>
      <c r="AF79" s="114"/>
      <c r="AG79" s="60"/>
    </row>
    <row r="80" spans="1:33" s="88" customFormat="1" ht="15" x14ac:dyDescent="0.2">
      <c r="A80" s="59"/>
      <c r="B80" s="114"/>
      <c r="C80" s="114"/>
      <c r="D80" s="138"/>
      <c r="E80" s="138"/>
      <c r="F80" s="138"/>
      <c r="G80" s="138"/>
      <c r="H80" s="138"/>
      <c r="I80" s="138"/>
      <c r="J80" s="138" t="str">
        <f t="shared" si="0"/>
        <v/>
      </c>
      <c r="K80" s="141"/>
      <c r="L80" s="141"/>
      <c r="M80" s="144"/>
      <c r="N80" s="144"/>
      <c r="O80" s="144"/>
      <c r="P80" s="144"/>
      <c r="Q80" s="144"/>
      <c r="R80" s="144"/>
      <c r="S80" s="147"/>
      <c r="T80" s="147"/>
      <c r="U80" s="147"/>
      <c r="V80" s="147"/>
      <c r="W80" s="115"/>
      <c r="X80" s="115"/>
      <c r="Y80" s="115"/>
      <c r="Z80" s="144"/>
      <c r="AA80" s="114"/>
      <c r="AB80" s="144"/>
      <c r="AC80" s="114"/>
      <c r="AD80" s="144"/>
      <c r="AE80" s="144"/>
      <c r="AF80" s="114"/>
      <c r="AG80" s="60"/>
    </row>
    <row r="81" spans="1:33" s="88" customFormat="1" ht="15" x14ac:dyDescent="0.2">
      <c r="A81" s="59"/>
      <c r="B81" s="114"/>
      <c r="C81" s="114"/>
      <c r="D81" s="138"/>
      <c r="E81" s="138"/>
      <c r="F81" s="138"/>
      <c r="G81" s="138"/>
      <c r="H81" s="138"/>
      <c r="I81" s="138"/>
      <c r="J81" s="138" t="str">
        <f t="shared" si="0"/>
        <v/>
      </c>
      <c r="K81" s="141"/>
      <c r="L81" s="141"/>
      <c r="M81" s="144"/>
      <c r="N81" s="144"/>
      <c r="O81" s="144"/>
      <c r="P81" s="144"/>
      <c r="Q81" s="144"/>
      <c r="R81" s="144"/>
      <c r="S81" s="147"/>
      <c r="T81" s="147"/>
      <c r="U81" s="147"/>
      <c r="V81" s="147"/>
      <c r="W81" s="115"/>
      <c r="X81" s="115"/>
      <c r="Y81" s="115"/>
      <c r="Z81" s="144"/>
      <c r="AA81" s="114"/>
      <c r="AB81" s="144"/>
      <c r="AC81" s="114"/>
      <c r="AD81" s="144"/>
      <c r="AE81" s="144"/>
      <c r="AF81" s="114"/>
      <c r="AG81" s="60"/>
    </row>
    <row r="82" spans="1:33" s="88" customFormat="1" ht="15" x14ac:dyDescent="0.2">
      <c r="A82" s="59"/>
      <c r="B82" s="114"/>
      <c r="C82" s="114"/>
      <c r="D82" s="138"/>
      <c r="E82" s="138"/>
      <c r="F82" s="138"/>
      <c r="G82" s="138"/>
      <c r="H82" s="138"/>
      <c r="I82" s="138"/>
      <c r="J82" s="138" t="str">
        <f t="shared" si="0"/>
        <v/>
      </c>
      <c r="K82" s="141"/>
      <c r="L82" s="141"/>
      <c r="M82" s="144"/>
      <c r="N82" s="144"/>
      <c r="O82" s="144"/>
      <c r="P82" s="144"/>
      <c r="Q82" s="144"/>
      <c r="R82" s="144"/>
      <c r="S82" s="147"/>
      <c r="T82" s="147"/>
      <c r="U82" s="147"/>
      <c r="V82" s="147"/>
      <c r="W82" s="115"/>
      <c r="X82" s="115"/>
      <c r="Y82" s="115"/>
      <c r="Z82" s="144"/>
      <c r="AA82" s="114"/>
      <c r="AB82" s="144"/>
      <c r="AC82" s="114"/>
      <c r="AD82" s="144"/>
      <c r="AE82" s="144"/>
      <c r="AF82" s="114"/>
      <c r="AG82" s="60"/>
    </row>
    <row r="83" spans="1:33" s="88" customFormat="1" ht="15" x14ac:dyDescent="0.2">
      <c r="A83" s="59"/>
      <c r="B83" s="114"/>
      <c r="C83" s="114"/>
      <c r="D83" s="138"/>
      <c r="E83" s="138"/>
      <c r="F83" s="138"/>
      <c r="G83" s="138"/>
      <c r="H83" s="138"/>
      <c r="I83" s="138"/>
      <c r="J83" s="138" t="str">
        <f t="shared" si="0"/>
        <v/>
      </c>
      <c r="K83" s="141"/>
      <c r="L83" s="141"/>
      <c r="M83" s="144"/>
      <c r="N83" s="144"/>
      <c r="O83" s="144"/>
      <c r="P83" s="144"/>
      <c r="Q83" s="144"/>
      <c r="R83" s="144"/>
      <c r="S83" s="147"/>
      <c r="T83" s="147"/>
      <c r="U83" s="147"/>
      <c r="V83" s="147"/>
      <c r="W83" s="115"/>
      <c r="X83" s="115"/>
      <c r="Y83" s="115"/>
      <c r="Z83" s="144"/>
      <c r="AA83" s="114"/>
      <c r="AB83" s="144"/>
      <c r="AC83" s="114"/>
      <c r="AD83" s="144"/>
      <c r="AE83" s="144"/>
      <c r="AF83" s="114"/>
      <c r="AG83" s="60"/>
    </row>
    <row r="84" spans="1:33" ht="15" x14ac:dyDescent="0.2">
      <c r="A84" s="59"/>
      <c r="B84" s="114"/>
      <c r="C84" s="114"/>
      <c r="D84" s="138"/>
      <c r="E84" s="138"/>
      <c r="F84" s="138"/>
      <c r="G84" s="138"/>
      <c r="H84" s="138"/>
      <c r="I84" s="138"/>
      <c r="J84" s="138" t="str">
        <f t="shared" si="0"/>
        <v/>
      </c>
      <c r="K84" s="141"/>
      <c r="L84" s="141"/>
      <c r="M84" s="144"/>
      <c r="N84" s="144"/>
      <c r="O84" s="144"/>
      <c r="P84" s="144"/>
      <c r="Q84" s="144"/>
      <c r="R84" s="144"/>
      <c r="S84" s="147"/>
      <c r="T84" s="147"/>
      <c r="U84" s="147"/>
      <c r="V84" s="147"/>
      <c r="W84" s="115"/>
      <c r="X84" s="115"/>
      <c r="Y84" s="115"/>
      <c r="Z84" s="144"/>
      <c r="AA84" s="114"/>
      <c r="AB84" s="149"/>
      <c r="AC84" s="116"/>
      <c r="AD84" s="149"/>
      <c r="AE84" s="149"/>
      <c r="AF84" s="114"/>
      <c r="AG84" s="60"/>
    </row>
    <row r="85" spans="1:33" ht="15.75" thickBot="1" x14ac:dyDescent="0.25">
      <c r="A85" s="59"/>
      <c r="B85" s="117"/>
      <c r="C85" s="117"/>
      <c r="D85" s="139"/>
      <c r="E85" s="139"/>
      <c r="F85" s="139"/>
      <c r="G85" s="139"/>
      <c r="H85" s="139"/>
      <c r="I85" s="139"/>
      <c r="J85" s="138" t="str">
        <f t="shared" ref="J85" si="1">IF(OR(H85="",G85=""),"",H85-G85)</f>
        <v/>
      </c>
      <c r="K85" s="142"/>
      <c r="L85" s="142"/>
      <c r="M85" s="145"/>
      <c r="N85" s="145"/>
      <c r="O85" s="145"/>
      <c r="P85" s="145"/>
      <c r="Q85" s="145"/>
      <c r="R85" s="145"/>
      <c r="S85" s="148"/>
      <c r="T85" s="148"/>
      <c r="U85" s="148"/>
      <c r="V85" s="148"/>
      <c r="W85" s="118"/>
      <c r="X85" s="118"/>
      <c r="Y85" s="118"/>
      <c r="Z85" s="145"/>
      <c r="AA85" s="117"/>
      <c r="AB85" s="145"/>
      <c r="AC85" s="117"/>
      <c r="AD85" s="145"/>
      <c r="AE85" s="145"/>
      <c r="AF85" s="117"/>
      <c r="AG85" s="60"/>
    </row>
    <row r="86" spans="1:33" ht="15.75" thickBot="1" x14ac:dyDescent="0.25">
      <c r="A86" s="95"/>
      <c r="B86" s="107"/>
      <c r="C86" s="107"/>
      <c r="D86" s="107"/>
      <c r="E86" s="107"/>
      <c r="F86" s="108"/>
      <c r="G86" s="109"/>
      <c r="H86" s="109"/>
      <c r="I86" s="109"/>
      <c r="J86" s="109"/>
      <c r="K86" s="110"/>
      <c r="L86" s="110"/>
      <c r="M86" s="110"/>
      <c r="N86" s="111"/>
      <c r="O86" s="111"/>
      <c r="P86" s="111"/>
      <c r="Q86" s="111"/>
      <c r="R86" s="111"/>
      <c r="S86" s="111"/>
      <c r="T86" s="111"/>
      <c r="U86" s="111"/>
      <c r="V86" s="111"/>
      <c r="W86" s="111"/>
      <c r="X86" s="111"/>
      <c r="Y86" s="111"/>
      <c r="Z86" s="111"/>
      <c r="AA86" s="107"/>
      <c r="AB86" s="107"/>
      <c r="AC86" s="107"/>
      <c r="AD86" s="130"/>
      <c r="AE86" s="130"/>
      <c r="AF86" s="130"/>
      <c r="AG86" s="96"/>
    </row>
    <row r="87" spans="1:33" ht="15.75" thickTop="1" x14ac:dyDescent="0.2">
      <c r="A87" s="59"/>
      <c r="B87" s="53"/>
      <c r="C87" s="53"/>
      <c r="D87" s="53"/>
      <c r="E87" s="53"/>
      <c r="F87" s="84"/>
      <c r="G87" s="85"/>
      <c r="H87" s="85"/>
      <c r="I87" s="85"/>
      <c r="J87" s="85"/>
      <c r="K87" s="86"/>
      <c r="L87" s="86"/>
      <c r="M87" s="86"/>
      <c r="N87" s="87"/>
      <c r="O87" s="87"/>
      <c r="P87" s="87"/>
      <c r="Q87" s="87"/>
      <c r="R87" s="87"/>
      <c r="S87" s="87"/>
      <c r="T87" s="87"/>
      <c r="U87" s="87"/>
      <c r="V87" s="87"/>
      <c r="W87" s="87"/>
      <c r="X87" s="87"/>
      <c r="Y87" s="87"/>
      <c r="Z87" s="87"/>
      <c r="AA87" s="53"/>
      <c r="AB87" s="53"/>
      <c r="AC87" s="53"/>
      <c r="AD87" s="53"/>
      <c r="AE87" s="53"/>
      <c r="AF87" s="53"/>
    </row>
    <row r="88" spans="1:33" ht="15" x14ac:dyDescent="0.2">
      <c r="A88" s="59"/>
      <c r="B88" s="53"/>
      <c r="C88" s="53"/>
      <c r="D88" s="53"/>
      <c r="E88" s="53"/>
      <c r="F88" s="84"/>
      <c r="G88" s="85"/>
      <c r="H88" s="85"/>
      <c r="I88" s="85"/>
      <c r="J88" s="85"/>
      <c r="K88" s="86"/>
      <c r="L88" s="86"/>
      <c r="M88" s="86"/>
      <c r="N88" s="87"/>
      <c r="O88" s="87"/>
      <c r="P88" s="87"/>
      <c r="Q88" s="87"/>
      <c r="R88" s="87"/>
      <c r="S88" s="87"/>
      <c r="T88" s="87"/>
      <c r="U88" s="87"/>
      <c r="V88" s="87"/>
      <c r="W88" s="87"/>
      <c r="X88" s="87"/>
      <c r="Y88" s="87"/>
      <c r="Z88" s="87"/>
      <c r="AA88" s="53"/>
      <c r="AB88" s="53"/>
      <c r="AC88" s="53"/>
      <c r="AD88" s="53"/>
      <c r="AE88" s="53"/>
      <c r="AF88" s="53"/>
    </row>
    <row r="89" spans="1:33" ht="15" x14ac:dyDescent="0.2">
      <c r="A89" s="59"/>
      <c r="B89" s="53"/>
      <c r="C89" s="53"/>
      <c r="D89" s="53"/>
      <c r="E89" s="53"/>
      <c r="F89" s="84"/>
      <c r="G89" s="85"/>
      <c r="H89" s="85"/>
      <c r="I89" s="85"/>
      <c r="J89" s="85"/>
      <c r="K89" s="86"/>
      <c r="L89" s="86"/>
      <c r="M89" s="86"/>
      <c r="N89" s="87"/>
      <c r="O89" s="87"/>
      <c r="P89" s="87"/>
      <c r="Q89" s="87"/>
      <c r="R89" s="87"/>
      <c r="S89" s="87"/>
      <c r="T89" s="87"/>
      <c r="U89" s="87"/>
      <c r="V89" s="87"/>
      <c r="W89" s="87"/>
      <c r="X89" s="87"/>
      <c r="Y89" s="87"/>
      <c r="Z89" s="87"/>
      <c r="AA89" s="53"/>
      <c r="AB89" s="53"/>
      <c r="AC89" s="53"/>
      <c r="AD89" s="53"/>
      <c r="AE89" s="53"/>
      <c r="AF89" s="53"/>
    </row>
    <row r="90" spans="1:33" ht="15" x14ac:dyDescent="0.2">
      <c r="A90" s="59"/>
      <c r="B90" s="53"/>
      <c r="C90" s="53"/>
      <c r="D90" s="53"/>
      <c r="E90" s="53"/>
      <c r="F90" s="84"/>
      <c r="G90" s="85"/>
      <c r="H90" s="85"/>
      <c r="I90" s="85"/>
      <c r="J90" s="85"/>
      <c r="K90" s="86"/>
      <c r="L90" s="86"/>
      <c r="M90" s="86"/>
      <c r="N90" s="87"/>
      <c r="O90" s="87"/>
      <c r="P90" s="87"/>
      <c r="Q90" s="87"/>
      <c r="R90" s="87"/>
      <c r="S90" s="87"/>
      <c r="T90" s="87"/>
      <c r="U90" s="87"/>
      <c r="V90" s="87"/>
      <c r="W90" s="87"/>
      <c r="X90" s="87"/>
      <c r="Y90" s="87"/>
      <c r="Z90" s="87"/>
      <c r="AA90" s="53"/>
      <c r="AB90" s="53"/>
      <c r="AC90" s="53"/>
      <c r="AD90" s="53"/>
      <c r="AE90" s="53"/>
      <c r="AF90" s="53"/>
    </row>
    <row r="91" spans="1:33" ht="15" x14ac:dyDescent="0.2">
      <c r="A91" s="59"/>
      <c r="B91" s="53"/>
      <c r="C91" s="53"/>
      <c r="D91" s="53"/>
      <c r="E91" s="53"/>
      <c r="F91" s="84"/>
      <c r="G91" s="85"/>
      <c r="H91" s="85"/>
      <c r="I91" s="85"/>
      <c r="J91" s="85"/>
      <c r="K91" s="86"/>
      <c r="L91" s="86"/>
      <c r="M91" s="86"/>
      <c r="N91" s="87"/>
      <c r="O91" s="87"/>
      <c r="P91" s="87"/>
      <c r="Q91" s="87"/>
      <c r="R91" s="87"/>
      <c r="S91" s="87"/>
      <c r="T91" s="87"/>
      <c r="U91" s="87"/>
      <c r="V91" s="87"/>
      <c r="W91" s="87"/>
      <c r="X91" s="87"/>
      <c r="Y91" s="87"/>
      <c r="Z91" s="87"/>
      <c r="AA91" s="53"/>
      <c r="AB91" s="53"/>
      <c r="AC91" s="53"/>
      <c r="AD91" s="53"/>
      <c r="AE91" s="53"/>
      <c r="AF91" s="53"/>
    </row>
    <row r="92" spans="1:33" ht="15" x14ac:dyDescent="0.2">
      <c r="A92" s="59"/>
      <c r="B92" s="53"/>
      <c r="C92" s="53"/>
      <c r="D92" s="53"/>
      <c r="E92" s="53"/>
      <c r="F92" s="84"/>
      <c r="G92" s="85"/>
      <c r="H92" s="85"/>
      <c r="I92" s="85"/>
      <c r="J92" s="85"/>
      <c r="K92" s="86"/>
      <c r="L92" s="86"/>
      <c r="M92" s="86"/>
      <c r="N92" s="87"/>
      <c r="O92" s="87"/>
      <c r="P92" s="87"/>
      <c r="Q92" s="87"/>
      <c r="R92" s="87"/>
      <c r="S92" s="87"/>
      <c r="T92" s="87"/>
      <c r="U92" s="87"/>
      <c r="V92" s="87"/>
      <c r="W92" s="87"/>
      <c r="X92" s="87"/>
      <c r="Y92" s="87"/>
      <c r="Z92" s="87"/>
      <c r="AA92" s="53"/>
      <c r="AB92" s="53"/>
      <c r="AC92" s="53"/>
      <c r="AD92" s="53"/>
      <c r="AE92" s="53"/>
      <c r="AF92" s="53"/>
    </row>
    <row r="93" spans="1:33" ht="15" x14ac:dyDescent="0.2">
      <c r="A93" s="59"/>
      <c r="B93" s="53"/>
      <c r="C93" s="53"/>
      <c r="D93" s="53"/>
      <c r="E93" s="53"/>
      <c r="F93" s="84"/>
      <c r="G93" s="85"/>
      <c r="H93" s="85"/>
      <c r="I93" s="85"/>
      <c r="J93" s="85"/>
      <c r="K93" s="86"/>
      <c r="L93" s="86"/>
      <c r="M93" s="86"/>
      <c r="N93" s="87"/>
      <c r="O93" s="87"/>
      <c r="P93" s="87"/>
      <c r="Q93" s="87"/>
      <c r="R93" s="87"/>
      <c r="S93" s="87"/>
      <c r="T93" s="87"/>
      <c r="U93" s="87"/>
      <c r="V93" s="87"/>
      <c r="W93" s="87"/>
      <c r="X93" s="87"/>
      <c r="Y93" s="87"/>
      <c r="Z93" s="87"/>
      <c r="AA93" s="53"/>
      <c r="AB93" s="53"/>
      <c r="AC93" s="53"/>
      <c r="AD93" s="53"/>
      <c r="AE93" s="53"/>
      <c r="AF93" s="53"/>
    </row>
    <row r="94" spans="1:33" ht="15" x14ac:dyDescent="0.2">
      <c r="A94" s="59"/>
      <c r="B94" s="53"/>
      <c r="C94" s="53"/>
      <c r="D94" s="53"/>
      <c r="E94" s="53"/>
      <c r="F94" s="84"/>
      <c r="G94" s="85"/>
      <c r="H94" s="85"/>
      <c r="I94" s="85"/>
      <c r="J94" s="85"/>
      <c r="K94" s="86"/>
      <c r="L94" s="86"/>
      <c r="M94" s="86"/>
      <c r="N94" s="87"/>
      <c r="O94" s="87"/>
      <c r="P94" s="87"/>
      <c r="Q94" s="87"/>
      <c r="R94" s="87"/>
      <c r="S94" s="87"/>
      <c r="T94" s="87"/>
      <c r="U94" s="87"/>
      <c r="V94" s="87"/>
      <c r="W94" s="87"/>
      <c r="X94" s="87"/>
      <c r="Y94" s="87"/>
      <c r="Z94" s="87"/>
      <c r="AA94" s="53"/>
      <c r="AB94" s="53"/>
      <c r="AC94" s="53"/>
      <c r="AD94" s="53"/>
      <c r="AE94" s="53"/>
      <c r="AF94" s="53"/>
    </row>
    <row r="95" spans="1:33" ht="15" x14ac:dyDescent="0.2">
      <c r="A95" s="59"/>
      <c r="B95" s="53"/>
      <c r="C95" s="53"/>
      <c r="D95" s="53"/>
      <c r="E95" s="53"/>
      <c r="F95" s="84"/>
      <c r="G95" s="85"/>
      <c r="H95" s="85"/>
      <c r="I95" s="85"/>
      <c r="J95" s="85"/>
      <c r="K95" s="86"/>
      <c r="L95" s="86"/>
      <c r="M95" s="86"/>
      <c r="N95" s="87"/>
      <c r="O95" s="87"/>
      <c r="P95" s="87"/>
      <c r="Q95" s="87"/>
      <c r="R95" s="87"/>
      <c r="S95" s="87"/>
      <c r="T95" s="87"/>
      <c r="U95" s="87"/>
      <c r="V95" s="87"/>
      <c r="W95" s="87"/>
      <c r="X95" s="87"/>
      <c r="Y95" s="87"/>
      <c r="Z95" s="87"/>
      <c r="AA95" s="53"/>
      <c r="AB95" s="53"/>
      <c r="AC95" s="53"/>
      <c r="AD95" s="53"/>
      <c r="AE95" s="53"/>
      <c r="AF95" s="53"/>
    </row>
    <row r="96" spans="1:33" ht="15" x14ac:dyDescent="0.2">
      <c r="A96" s="59"/>
      <c r="B96" s="53"/>
      <c r="C96" s="53"/>
      <c r="D96" s="53"/>
      <c r="E96" s="53"/>
      <c r="F96" s="84"/>
      <c r="G96" s="85"/>
      <c r="H96" s="85"/>
      <c r="I96" s="85"/>
      <c r="J96" s="85"/>
      <c r="K96" s="86"/>
      <c r="L96" s="86"/>
      <c r="M96" s="86"/>
      <c r="N96" s="87"/>
      <c r="O96" s="87"/>
      <c r="P96" s="87"/>
      <c r="Q96" s="87"/>
      <c r="R96" s="87"/>
      <c r="S96" s="87"/>
      <c r="T96" s="87"/>
      <c r="U96" s="87"/>
      <c r="V96" s="87"/>
      <c r="W96" s="87"/>
      <c r="X96" s="87"/>
      <c r="Y96" s="87"/>
      <c r="Z96" s="87"/>
      <c r="AA96" s="53"/>
      <c r="AB96" s="53"/>
      <c r="AC96" s="53"/>
      <c r="AD96" s="53"/>
      <c r="AE96" s="53"/>
      <c r="AF96" s="53"/>
    </row>
    <row r="97" spans="1:32" ht="15" x14ac:dyDescent="0.2">
      <c r="A97" s="59"/>
      <c r="B97" s="53"/>
      <c r="C97" s="53"/>
      <c r="D97" s="53"/>
      <c r="E97" s="53"/>
      <c r="F97" s="84"/>
      <c r="G97" s="85"/>
      <c r="H97" s="85"/>
      <c r="I97" s="85"/>
      <c r="J97" s="85"/>
      <c r="K97" s="86"/>
      <c r="L97" s="86"/>
      <c r="M97" s="86"/>
      <c r="N97" s="87"/>
      <c r="O97" s="87"/>
      <c r="P97" s="87"/>
      <c r="Q97" s="87"/>
      <c r="R97" s="87"/>
      <c r="S97" s="87"/>
      <c r="T97" s="87"/>
      <c r="U97" s="87"/>
      <c r="V97" s="87"/>
      <c r="W97" s="87"/>
      <c r="X97" s="87"/>
      <c r="Y97" s="87"/>
      <c r="Z97" s="87"/>
      <c r="AA97" s="53"/>
      <c r="AB97" s="53"/>
      <c r="AC97" s="53"/>
      <c r="AD97" s="53"/>
      <c r="AE97" s="53"/>
      <c r="AF97" s="53"/>
    </row>
    <row r="98" spans="1:32" ht="15" x14ac:dyDescent="0.2">
      <c r="A98" s="59"/>
      <c r="B98" s="53"/>
      <c r="C98" s="53"/>
      <c r="D98" s="53"/>
      <c r="E98" s="53"/>
      <c r="F98" s="84"/>
      <c r="G98" s="85"/>
      <c r="H98" s="85"/>
      <c r="I98" s="85"/>
      <c r="J98" s="85"/>
      <c r="K98" s="86"/>
      <c r="L98" s="86"/>
      <c r="M98" s="86"/>
      <c r="N98" s="87"/>
      <c r="O98" s="87"/>
      <c r="P98" s="87"/>
      <c r="Q98" s="87"/>
      <c r="R98" s="87"/>
      <c r="S98" s="87"/>
      <c r="T98" s="87"/>
      <c r="U98" s="87"/>
      <c r="V98" s="87"/>
      <c r="W98" s="87"/>
      <c r="X98" s="87"/>
      <c r="Y98" s="87"/>
      <c r="Z98" s="87"/>
      <c r="AA98" s="53"/>
      <c r="AB98" s="53"/>
      <c r="AC98" s="53"/>
      <c r="AD98" s="53"/>
      <c r="AE98" s="53"/>
      <c r="AF98" s="53"/>
    </row>
    <row r="99" spans="1:32" ht="15" x14ac:dyDescent="0.2">
      <c r="A99" s="59"/>
      <c r="B99" s="53"/>
      <c r="C99" s="53"/>
      <c r="D99" s="53"/>
      <c r="E99" s="53"/>
      <c r="F99" s="84"/>
      <c r="G99" s="85"/>
      <c r="H99" s="85"/>
      <c r="I99" s="85"/>
      <c r="J99" s="85"/>
      <c r="K99" s="86"/>
      <c r="L99" s="86"/>
      <c r="M99" s="86"/>
      <c r="N99" s="87"/>
      <c r="O99" s="87"/>
      <c r="P99" s="87"/>
      <c r="Q99" s="87"/>
      <c r="R99" s="87"/>
      <c r="S99" s="87"/>
      <c r="T99" s="87"/>
      <c r="U99" s="87"/>
      <c r="V99" s="87"/>
      <c r="W99" s="87"/>
      <c r="X99" s="87"/>
      <c r="Y99" s="87"/>
      <c r="Z99" s="87"/>
      <c r="AA99" s="53"/>
      <c r="AB99" s="53"/>
      <c r="AC99" s="53"/>
      <c r="AD99" s="53"/>
      <c r="AE99" s="53"/>
      <c r="AF99" s="53"/>
    </row>
    <row r="100" spans="1:32" ht="15" x14ac:dyDescent="0.2">
      <c r="A100" s="59"/>
      <c r="B100" s="53"/>
      <c r="C100" s="53"/>
      <c r="D100" s="53"/>
      <c r="E100" s="53"/>
      <c r="F100" s="84"/>
      <c r="G100" s="85"/>
      <c r="H100" s="85"/>
      <c r="I100" s="85"/>
      <c r="J100" s="85"/>
      <c r="K100" s="86"/>
      <c r="L100" s="86"/>
      <c r="M100" s="86"/>
      <c r="N100" s="87"/>
      <c r="O100" s="87"/>
      <c r="P100" s="87"/>
      <c r="Q100" s="87"/>
      <c r="R100" s="87"/>
      <c r="S100" s="87"/>
      <c r="T100" s="87"/>
      <c r="U100" s="87"/>
      <c r="V100" s="87"/>
      <c r="W100" s="87"/>
      <c r="X100" s="87"/>
      <c r="Y100" s="87"/>
      <c r="Z100" s="87"/>
      <c r="AA100" s="53"/>
      <c r="AB100" s="53"/>
      <c r="AC100" s="53"/>
      <c r="AD100" s="53"/>
      <c r="AE100" s="53"/>
      <c r="AF100" s="53"/>
    </row>
    <row r="101" spans="1:32" ht="15" x14ac:dyDescent="0.2">
      <c r="A101" s="59"/>
      <c r="B101" s="53"/>
      <c r="C101" s="53"/>
      <c r="D101" s="53"/>
      <c r="E101" s="53"/>
      <c r="F101" s="84"/>
      <c r="G101" s="85"/>
      <c r="H101" s="85"/>
      <c r="I101" s="85"/>
      <c r="J101" s="85"/>
      <c r="K101" s="86"/>
      <c r="L101" s="86"/>
      <c r="M101" s="86"/>
      <c r="N101" s="87"/>
      <c r="O101" s="87"/>
      <c r="P101" s="87"/>
      <c r="Q101" s="87"/>
      <c r="R101" s="87"/>
      <c r="S101" s="87"/>
      <c r="T101" s="87"/>
      <c r="U101" s="87"/>
      <c r="V101" s="87"/>
      <c r="W101" s="87"/>
      <c r="X101" s="87"/>
      <c r="Y101" s="87"/>
      <c r="Z101" s="87"/>
      <c r="AA101" s="53"/>
      <c r="AB101" s="53"/>
      <c r="AC101" s="53"/>
      <c r="AD101" s="53"/>
      <c r="AE101" s="53"/>
      <c r="AF101" s="53"/>
    </row>
    <row r="102" spans="1:32" ht="15" x14ac:dyDescent="0.2">
      <c r="A102" s="59"/>
      <c r="B102" s="53"/>
      <c r="C102" s="53"/>
      <c r="D102" s="53"/>
      <c r="E102" s="53"/>
      <c r="F102" s="84"/>
      <c r="G102" s="85"/>
      <c r="H102" s="85"/>
      <c r="I102" s="85"/>
      <c r="J102" s="85"/>
      <c r="K102" s="86"/>
      <c r="L102" s="86"/>
      <c r="M102" s="86"/>
      <c r="N102" s="87"/>
      <c r="O102" s="87"/>
      <c r="P102" s="87"/>
      <c r="Q102" s="87"/>
      <c r="R102" s="87"/>
      <c r="S102" s="87"/>
      <c r="T102" s="87"/>
      <c r="U102" s="87"/>
      <c r="V102" s="87"/>
      <c r="W102" s="87"/>
      <c r="X102" s="87"/>
      <c r="Y102" s="87"/>
      <c r="Z102" s="87"/>
      <c r="AA102" s="53"/>
      <c r="AB102" s="53"/>
      <c r="AC102" s="53"/>
      <c r="AD102" s="53"/>
      <c r="AE102" s="53"/>
      <c r="AF102" s="53"/>
    </row>
    <row r="103" spans="1:32" ht="15" x14ac:dyDescent="0.2">
      <c r="A103" s="59"/>
      <c r="B103" s="53"/>
      <c r="C103" s="53"/>
      <c r="D103" s="53"/>
      <c r="E103" s="53"/>
      <c r="F103" s="84"/>
      <c r="G103" s="85"/>
      <c r="H103" s="85"/>
      <c r="I103" s="85"/>
      <c r="J103" s="85"/>
      <c r="K103" s="86"/>
      <c r="L103" s="86"/>
      <c r="M103" s="86"/>
      <c r="N103" s="87"/>
      <c r="O103" s="87"/>
      <c r="P103" s="87"/>
      <c r="Q103" s="87"/>
      <c r="R103" s="87"/>
      <c r="S103" s="87"/>
      <c r="T103" s="87"/>
      <c r="U103" s="87"/>
      <c r="V103" s="87"/>
      <c r="W103" s="87"/>
      <c r="X103" s="87"/>
      <c r="Y103" s="87"/>
      <c r="Z103" s="87"/>
      <c r="AA103" s="53"/>
      <c r="AB103" s="53"/>
      <c r="AC103" s="53"/>
      <c r="AD103" s="53"/>
      <c r="AE103" s="53"/>
      <c r="AF103" s="53"/>
    </row>
    <row r="104" spans="1:32" ht="15" x14ac:dyDescent="0.2">
      <c r="A104" s="59"/>
      <c r="B104" s="53"/>
      <c r="C104" s="53"/>
      <c r="D104" s="53"/>
      <c r="E104" s="53"/>
      <c r="F104" s="84"/>
      <c r="G104" s="85"/>
      <c r="H104" s="85"/>
      <c r="I104" s="85"/>
      <c r="J104" s="85"/>
      <c r="K104" s="86"/>
      <c r="L104" s="86"/>
      <c r="M104" s="86"/>
      <c r="N104" s="87"/>
      <c r="O104" s="87"/>
      <c r="P104" s="87"/>
      <c r="Q104" s="87"/>
      <c r="R104" s="87"/>
      <c r="S104" s="87"/>
      <c r="T104" s="87"/>
      <c r="U104" s="87"/>
      <c r="V104" s="87"/>
      <c r="W104" s="87"/>
      <c r="X104" s="87"/>
      <c r="Y104" s="87"/>
      <c r="Z104" s="87"/>
      <c r="AA104" s="53"/>
      <c r="AB104" s="53"/>
      <c r="AC104" s="53"/>
      <c r="AD104" s="53"/>
      <c r="AE104" s="53"/>
      <c r="AF104" s="53"/>
    </row>
    <row r="105" spans="1:32" ht="15" x14ac:dyDescent="0.2">
      <c r="A105" s="59"/>
      <c r="B105" s="53"/>
      <c r="C105" s="53"/>
      <c r="D105" s="53"/>
      <c r="E105" s="53"/>
      <c r="F105" s="84"/>
      <c r="G105" s="85"/>
      <c r="H105" s="85"/>
      <c r="I105" s="85"/>
      <c r="J105" s="85"/>
      <c r="K105" s="86"/>
      <c r="L105" s="86"/>
      <c r="M105" s="86"/>
      <c r="N105" s="87"/>
      <c r="O105" s="87"/>
      <c r="P105" s="87"/>
      <c r="Q105" s="87"/>
      <c r="R105" s="87"/>
      <c r="S105" s="87"/>
      <c r="T105" s="87"/>
      <c r="U105" s="87"/>
      <c r="V105" s="87"/>
      <c r="W105" s="87"/>
      <c r="X105" s="87"/>
      <c r="Y105" s="87"/>
      <c r="Z105" s="87"/>
      <c r="AA105" s="53"/>
      <c r="AB105" s="53"/>
      <c r="AC105" s="53"/>
      <c r="AD105" s="53"/>
      <c r="AE105" s="53"/>
      <c r="AF105" s="53"/>
    </row>
    <row r="106" spans="1:32" ht="15" x14ac:dyDescent="0.2">
      <c r="A106" s="59"/>
      <c r="B106" s="53"/>
      <c r="C106" s="53"/>
      <c r="D106" s="53"/>
      <c r="E106" s="53"/>
      <c r="F106" s="84"/>
      <c r="G106" s="85"/>
      <c r="H106" s="85"/>
      <c r="I106" s="85"/>
      <c r="J106" s="85"/>
      <c r="K106" s="86"/>
      <c r="L106" s="86"/>
      <c r="M106" s="86"/>
      <c r="N106" s="87"/>
      <c r="O106" s="87"/>
      <c r="P106" s="87"/>
      <c r="Q106" s="87"/>
      <c r="R106" s="87"/>
      <c r="S106" s="87"/>
      <c r="T106" s="87"/>
      <c r="U106" s="87"/>
      <c r="V106" s="87"/>
      <c r="W106" s="87"/>
      <c r="X106" s="87"/>
      <c r="Y106" s="87"/>
      <c r="Z106" s="87"/>
      <c r="AA106" s="53"/>
      <c r="AB106" s="53"/>
      <c r="AC106" s="53"/>
      <c r="AD106" s="53"/>
      <c r="AE106" s="53"/>
      <c r="AF106" s="53"/>
    </row>
    <row r="107" spans="1:32" ht="15" x14ac:dyDescent="0.2">
      <c r="A107" s="59"/>
      <c r="B107" s="53"/>
      <c r="C107" s="53"/>
      <c r="D107" s="53"/>
      <c r="E107" s="53"/>
      <c r="F107" s="84"/>
      <c r="G107" s="85"/>
      <c r="H107" s="85"/>
      <c r="I107" s="85"/>
      <c r="J107" s="85"/>
      <c r="K107" s="86"/>
      <c r="L107" s="86"/>
      <c r="M107" s="86"/>
      <c r="N107" s="87"/>
      <c r="O107" s="87"/>
      <c r="P107" s="87"/>
      <c r="Q107" s="87"/>
      <c r="R107" s="87"/>
      <c r="S107" s="87"/>
      <c r="T107" s="87"/>
      <c r="U107" s="87"/>
      <c r="V107" s="87"/>
      <c r="W107" s="87"/>
      <c r="X107" s="87"/>
      <c r="Y107" s="87"/>
      <c r="Z107" s="87"/>
      <c r="AA107" s="53"/>
      <c r="AB107" s="53"/>
      <c r="AC107" s="53"/>
      <c r="AD107" s="53"/>
      <c r="AE107" s="53"/>
      <c r="AF107" s="53"/>
    </row>
    <row r="108" spans="1:32" ht="15" x14ac:dyDescent="0.2">
      <c r="A108" s="59"/>
      <c r="B108" s="53"/>
      <c r="C108" s="53"/>
      <c r="D108" s="53"/>
      <c r="E108" s="53"/>
      <c r="F108" s="84"/>
      <c r="G108" s="85"/>
      <c r="H108" s="85"/>
      <c r="I108" s="85"/>
      <c r="J108" s="85"/>
      <c r="K108" s="86"/>
      <c r="L108" s="86"/>
      <c r="M108" s="86"/>
      <c r="N108" s="87"/>
      <c r="O108" s="87"/>
      <c r="P108" s="87"/>
      <c r="Q108" s="87"/>
      <c r="R108" s="87"/>
      <c r="S108" s="87"/>
      <c r="T108" s="87"/>
      <c r="U108" s="87"/>
      <c r="V108" s="87"/>
      <c r="W108" s="87"/>
      <c r="X108" s="87"/>
      <c r="Y108" s="87"/>
      <c r="Z108" s="87"/>
      <c r="AA108" s="53"/>
      <c r="AB108" s="53"/>
      <c r="AC108" s="53"/>
      <c r="AD108" s="53"/>
      <c r="AE108" s="53"/>
      <c r="AF108" s="53"/>
    </row>
    <row r="109" spans="1:32" ht="15" x14ac:dyDescent="0.2">
      <c r="A109" s="59"/>
      <c r="B109" s="53"/>
      <c r="C109" s="53"/>
      <c r="D109" s="53"/>
      <c r="E109" s="53"/>
      <c r="F109" s="84"/>
      <c r="G109" s="85"/>
      <c r="H109" s="85"/>
      <c r="I109" s="85"/>
      <c r="J109" s="85"/>
      <c r="K109" s="86"/>
      <c r="L109" s="86"/>
      <c r="M109" s="86"/>
      <c r="N109" s="87"/>
      <c r="O109" s="87"/>
      <c r="P109" s="87"/>
      <c r="Q109" s="87"/>
      <c r="R109" s="87"/>
      <c r="S109" s="87"/>
      <c r="T109" s="87"/>
      <c r="U109" s="87"/>
      <c r="V109" s="87"/>
      <c r="W109" s="87"/>
      <c r="X109" s="87"/>
      <c r="Y109" s="87"/>
      <c r="Z109" s="87"/>
      <c r="AA109" s="53"/>
      <c r="AB109" s="53"/>
      <c r="AC109" s="53"/>
      <c r="AD109" s="53"/>
      <c r="AE109" s="53"/>
      <c r="AF109" s="53"/>
    </row>
    <row r="110" spans="1:32" ht="15" x14ac:dyDescent="0.2">
      <c r="A110" s="59"/>
      <c r="B110" s="53"/>
      <c r="C110" s="53"/>
      <c r="D110" s="53"/>
      <c r="E110" s="53"/>
      <c r="F110" s="84"/>
      <c r="G110" s="85"/>
      <c r="H110" s="85"/>
      <c r="I110" s="85"/>
      <c r="J110" s="85"/>
      <c r="K110" s="86"/>
      <c r="L110" s="86"/>
      <c r="M110" s="86"/>
      <c r="N110" s="87"/>
      <c r="O110" s="87"/>
      <c r="P110" s="87"/>
      <c r="Q110" s="87"/>
      <c r="R110" s="87"/>
      <c r="S110" s="87"/>
      <c r="T110" s="87"/>
      <c r="U110" s="87"/>
      <c r="V110" s="87"/>
      <c r="W110" s="87"/>
      <c r="X110" s="87"/>
      <c r="Y110" s="87"/>
      <c r="Z110" s="87"/>
      <c r="AA110" s="53"/>
      <c r="AB110" s="53"/>
      <c r="AC110" s="53"/>
      <c r="AD110" s="53"/>
      <c r="AE110" s="53"/>
      <c r="AF110" s="53"/>
    </row>
    <row r="111" spans="1:32" ht="15" x14ac:dyDescent="0.2">
      <c r="A111" s="59"/>
      <c r="B111" s="53"/>
      <c r="C111" s="53"/>
      <c r="D111" s="53"/>
      <c r="E111" s="53"/>
      <c r="F111" s="84"/>
      <c r="G111" s="85"/>
      <c r="H111" s="85"/>
      <c r="I111" s="85"/>
      <c r="J111" s="85"/>
      <c r="K111" s="86"/>
      <c r="L111" s="86"/>
      <c r="M111" s="86"/>
      <c r="N111" s="87"/>
      <c r="O111" s="87"/>
      <c r="P111" s="87"/>
      <c r="Q111" s="87"/>
      <c r="R111" s="87"/>
      <c r="S111" s="87"/>
      <c r="T111" s="87"/>
      <c r="U111" s="87"/>
      <c r="V111" s="87"/>
      <c r="W111" s="87"/>
      <c r="X111" s="87"/>
      <c r="Y111" s="87"/>
      <c r="Z111" s="87"/>
      <c r="AA111" s="53"/>
      <c r="AB111" s="53"/>
      <c r="AC111" s="53"/>
      <c r="AD111" s="53"/>
      <c r="AE111" s="53"/>
      <c r="AF111" s="53"/>
    </row>
    <row r="112" spans="1:32" ht="15" x14ac:dyDescent="0.2">
      <c r="A112" s="59"/>
      <c r="B112" s="53"/>
      <c r="C112" s="53"/>
      <c r="D112" s="53"/>
      <c r="E112" s="53"/>
      <c r="F112" s="84"/>
      <c r="G112" s="85"/>
      <c r="H112" s="85"/>
      <c r="I112" s="85"/>
      <c r="J112" s="85"/>
      <c r="K112" s="86"/>
      <c r="L112" s="86"/>
      <c r="M112" s="86"/>
      <c r="N112" s="87"/>
      <c r="O112" s="87"/>
      <c r="P112" s="87"/>
      <c r="Q112" s="87"/>
      <c r="R112" s="87"/>
      <c r="S112" s="87"/>
      <c r="T112" s="87"/>
      <c r="U112" s="87"/>
      <c r="V112" s="87"/>
      <c r="W112" s="87"/>
      <c r="X112" s="87"/>
      <c r="Y112" s="87"/>
      <c r="Z112" s="87"/>
      <c r="AA112" s="53"/>
      <c r="AB112" s="53"/>
      <c r="AC112" s="53"/>
      <c r="AD112" s="53"/>
      <c r="AE112" s="53"/>
      <c r="AF112" s="53"/>
    </row>
    <row r="113" spans="1:32" ht="15" x14ac:dyDescent="0.2">
      <c r="A113" s="59"/>
      <c r="B113" s="53"/>
      <c r="C113" s="53"/>
      <c r="D113" s="53"/>
      <c r="E113" s="53"/>
      <c r="F113" s="84"/>
      <c r="G113" s="85"/>
      <c r="H113" s="85"/>
      <c r="I113" s="85"/>
      <c r="J113" s="85"/>
      <c r="K113" s="86"/>
      <c r="L113" s="86"/>
      <c r="M113" s="86"/>
      <c r="N113" s="87"/>
      <c r="O113" s="87"/>
      <c r="P113" s="87"/>
      <c r="Q113" s="87"/>
      <c r="R113" s="87"/>
      <c r="S113" s="87"/>
      <c r="T113" s="87"/>
      <c r="U113" s="87"/>
      <c r="V113" s="87"/>
      <c r="W113" s="87"/>
      <c r="X113" s="87"/>
      <c r="Y113" s="87"/>
      <c r="Z113" s="87"/>
      <c r="AA113" s="53"/>
      <c r="AB113" s="53"/>
      <c r="AC113" s="53"/>
      <c r="AD113" s="53"/>
      <c r="AE113" s="53"/>
      <c r="AF113" s="53"/>
    </row>
    <row r="114" spans="1:32" ht="15" x14ac:dyDescent="0.2">
      <c r="A114" s="59"/>
      <c r="B114" s="53"/>
      <c r="C114" s="53"/>
      <c r="D114" s="53"/>
      <c r="E114" s="53"/>
      <c r="F114" s="84"/>
      <c r="G114" s="85"/>
      <c r="H114" s="85"/>
      <c r="I114" s="85"/>
      <c r="J114" s="85"/>
      <c r="K114" s="86"/>
      <c r="L114" s="86"/>
      <c r="M114" s="86"/>
      <c r="N114" s="87"/>
      <c r="O114" s="87"/>
      <c r="P114" s="87"/>
      <c r="Q114" s="87"/>
      <c r="R114" s="87"/>
      <c r="S114" s="87"/>
      <c r="T114" s="87"/>
      <c r="U114" s="87"/>
      <c r="V114" s="87"/>
      <c r="W114" s="87"/>
      <c r="X114" s="87"/>
      <c r="Y114" s="87"/>
      <c r="Z114" s="87"/>
      <c r="AA114" s="53"/>
      <c r="AB114" s="53"/>
      <c r="AC114" s="53"/>
      <c r="AD114" s="53"/>
      <c r="AE114" s="53"/>
      <c r="AF114" s="53"/>
    </row>
    <row r="115" spans="1:32" ht="15" x14ac:dyDescent="0.2">
      <c r="A115" s="59"/>
      <c r="B115" s="53"/>
      <c r="C115" s="53"/>
      <c r="D115" s="53"/>
      <c r="E115" s="53"/>
      <c r="F115" s="84"/>
      <c r="G115" s="85"/>
      <c r="H115" s="85"/>
      <c r="I115" s="85"/>
      <c r="J115" s="85"/>
      <c r="K115" s="86"/>
      <c r="L115" s="86"/>
      <c r="M115" s="86"/>
      <c r="N115" s="87"/>
      <c r="O115" s="87"/>
      <c r="P115" s="87"/>
      <c r="Q115" s="87"/>
      <c r="R115" s="87"/>
      <c r="S115" s="87"/>
      <c r="T115" s="87"/>
      <c r="U115" s="87"/>
      <c r="V115" s="87"/>
      <c r="W115" s="87"/>
      <c r="X115" s="87"/>
      <c r="Y115" s="87"/>
      <c r="Z115" s="87"/>
      <c r="AA115" s="53"/>
      <c r="AB115" s="53"/>
      <c r="AC115" s="53"/>
      <c r="AD115" s="53"/>
      <c r="AE115" s="53"/>
      <c r="AF115" s="53"/>
    </row>
    <row r="116" spans="1:32" ht="15" x14ac:dyDescent="0.2">
      <c r="A116" s="59"/>
      <c r="B116" s="53"/>
      <c r="C116" s="53"/>
      <c r="D116" s="53"/>
      <c r="E116" s="53"/>
      <c r="F116" s="84"/>
      <c r="G116" s="85"/>
      <c r="H116" s="85"/>
      <c r="I116" s="85"/>
      <c r="J116" s="85"/>
      <c r="K116" s="86"/>
      <c r="L116" s="86"/>
      <c r="M116" s="86"/>
      <c r="N116" s="87"/>
      <c r="O116" s="87"/>
      <c r="P116" s="87"/>
      <c r="Q116" s="87"/>
      <c r="R116" s="87"/>
      <c r="S116" s="87"/>
      <c r="T116" s="87"/>
      <c r="U116" s="87"/>
      <c r="V116" s="87"/>
      <c r="W116" s="87"/>
      <c r="X116" s="87"/>
      <c r="Y116" s="87"/>
      <c r="Z116" s="87"/>
      <c r="AA116" s="53"/>
      <c r="AB116" s="53"/>
      <c r="AC116" s="53"/>
      <c r="AD116" s="53"/>
      <c r="AE116" s="53"/>
      <c r="AF116" s="53"/>
    </row>
    <row r="117" spans="1:32" ht="15" x14ac:dyDescent="0.2">
      <c r="A117" s="59"/>
      <c r="B117" s="53"/>
      <c r="C117" s="53"/>
      <c r="D117" s="53"/>
      <c r="E117" s="53"/>
      <c r="F117" s="84"/>
      <c r="G117" s="85"/>
      <c r="H117" s="85"/>
      <c r="I117" s="85"/>
      <c r="J117" s="85"/>
      <c r="K117" s="86"/>
      <c r="L117" s="86"/>
      <c r="M117" s="86"/>
      <c r="N117" s="87"/>
      <c r="O117" s="87"/>
      <c r="P117" s="87"/>
      <c r="Q117" s="87"/>
      <c r="R117" s="87"/>
      <c r="S117" s="87"/>
      <c r="T117" s="87"/>
      <c r="U117" s="87"/>
      <c r="V117" s="87"/>
      <c r="W117" s="87"/>
      <c r="X117" s="87"/>
      <c r="Y117" s="87"/>
      <c r="Z117" s="87"/>
      <c r="AA117" s="53"/>
      <c r="AB117" s="53"/>
      <c r="AC117" s="53"/>
      <c r="AD117" s="53"/>
      <c r="AE117" s="53"/>
      <c r="AF117" s="53"/>
    </row>
    <row r="118" spans="1:32" ht="15" x14ac:dyDescent="0.2">
      <c r="A118" s="59"/>
      <c r="B118" s="53"/>
      <c r="C118" s="53"/>
      <c r="D118" s="53"/>
      <c r="E118" s="53"/>
      <c r="F118" s="84"/>
      <c r="G118" s="85"/>
      <c r="H118" s="85"/>
      <c r="I118" s="85"/>
      <c r="J118" s="85"/>
      <c r="K118" s="86"/>
      <c r="L118" s="86"/>
      <c r="M118" s="86"/>
      <c r="N118" s="87"/>
      <c r="O118" s="87"/>
      <c r="P118" s="87"/>
      <c r="Q118" s="87"/>
      <c r="R118" s="87"/>
      <c r="S118" s="87"/>
      <c r="T118" s="87"/>
      <c r="U118" s="87"/>
      <c r="V118" s="87"/>
      <c r="W118" s="87"/>
      <c r="X118" s="87"/>
      <c r="Y118" s="87"/>
      <c r="Z118" s="87"/>
      <c r="AA118" s="53"/>
      <c r="AB118" s="53"/>
      <c r="AC118" s="53"/>
      <c r="AD118" s="53"/>
      <c r="AE118" s="53"/>
      <c r="AF118" s="53"/>
    </row>
    <row r="119" spans="1:32" ht="15" x14ac:dyDescent="0.2">
      <c r="A119" s="59"/>
      <c r="B119" s="53"/>
      <c r="C119" s="53"/>
      <c r="D119" s="53"/>
      <c r="E119" s="53"/>
      <c r="F119" s="84"/>
      <c r="G119" s="85"/>
      <c r="H119" s="85"/>
      <c r="I119" s="85"/>
      <c r="J119" s="85"/>
      <c r="K119" s="86"/>
      <c r="L119" s="86"/>
      <c r="M119" s="86"/>
      <c r="N119" s="87"/>
      <c r="O119" s="87"/>
      <c r="P119" s="87"/>
      <c r="Q119" s="87"/>
      <c r="R119" s="87"/>
      <c r="S119" s="87"/>
      <c r="T119" s="87"/>
      <c r="U119" s="87"/>
      <c r="V119" s="87"/>
      <c r="W119" s="87"/>
      <c r="X119" s="87"/>
      <c r="Y119" s="87"/>
      <c r="Z119" s="87"/>
      <c r="AA119" s="53"/>
      <c r="AB119" s="53"/>
      <c r="AC119" s="53"/>
      <c r="AD119" s="53"/>
      <c r="AE119" s="53"/>
      <c r="AF119" s="53"/>
    </row>
    <row r="120" spans="1:32" ht="15" x14ac:dyDescent="0.2">
      <c r="A120" s="59"/>
      <c r="B120" s="53"/>
      <c r="C120" s="53"/>
      <c r="D120" s="53"/>
      <c r="E120" s="53"/>
      <c r="F120" s="84"/>
      <c r="G120" s="85"/>
      <c r="H120" s="85"/>
      <c r="I120" s="85"/>
      <c r="J120" s="85"/>
      <c r="K120" s="86"/>
      <c r="L120" s="86"/>
      <c r="M120" s="86"/>
      <c r="N120" s="87"/>
      <c r="O120" s="87"/>
      <c r="P120" s="87"/>
      <c r="Q120" s="87"/>
      <c r="R120" s="87"/>
      <c r="S120" s="87"/>
      <c r="T120" s="87"/>
      <c r="U120" s="87"/>
      <c r="V120" s="87"/>
      <c r="W120" s="87"/>
      <c r="X120" s="87"/>
      <c r="Y120" s="87"/>
      <c r="Z120" s="87"/>
      <c r="AA120" s="53"/>
      <c r="AB120" s="53"/>
      <c r="AC120" s="53"/>
      <c r="AD120" s="53"/>
      <c r="AE120" s="53"/>
      <c r="AF120" s="53"/>
    </row>
    <row r="121" spans="1:32" ht="15" x14ac:dyDescent="0.2">
      <c r="A121" s="59"/>
      <c r="B121" s="53"/>
      <c r="C121" s="53"/>
      <c r="D121" s="53"/>
      <c r="E121" s="53"/>
      <c r="F121" s="84"/>
      <c r="G121" s="85"/>
      <c r="H121" s="85"/>
      <c r="I121" s="85"/>
      <c r="J121" s="85"/>
      <c r="K121" s="86"/>
      <c r="L121" s="86"/>
      <c r="M121" s="86"/>
      <c r="N121" s="87"/>
      <c r="O121" s="87"/>
      <c r="P121" s="87"/>
      <c r="Q121" s="87"/>
      <c r="R121" s="87"/>
      <c r="S121" s="87"/>
      <c r="T121" s="87"/>
      <c r="U121" s="87"/>
      <c r="V121" s="87"/>
      <c r="W121" s="87"/>
      <c r="X121" s="87"/>
      <c r="Y121" s="87"/>
      <c r="Z121" s="87"/>
      <c r="AA121" s="53"/>
      <c r="AB121" s="53"/>
      <c r="AC121" s="53"/>
      <c r="AD121" s="53"/>
      <c r="AE121" s="53"/>
      <c r="AF121" s="53"/>
    </row>
    <row r="122" spans="1:32" ht="15" x14ac:dyDescent="0.2">
      <c r="A122" s="59"/>
      <c r="B122" s="53"/>
      <c r="C122" s="53"/>
      <c r="D122" s="53"/>
      <c r="E122" s="53"/>
      <c r="F122" s="84"/>
      <c r="G122" s="85"/>
      <c r="H122" s="85"/>
      <c r="I122" s="85"/>
      <c r="J122" s="85"/>
      <c r="K122" s="86"/>
      <c r="L122" s="86"/>
      <c r="M122" s="86"/>
      <c r="N122" s="87"/>
      <c r="O122" s="87"/>
      <c r="P122" s="87"/>
      <c r="Q122" s="87"/>
      <c r="R122" s="87"/>
      <c r="S122" s="87"/>
      <c r="T122" s="87"/>
      <c r="U122" s="87"/>
      <c r="V122" s="87"/>
      <c r="W122" s="87"/>
      <c r="X122" s="87"/>
      <c r="Y122" s="87"/>
      <c r="Z122" s="87"/>
      <c r="AA122" s="53"/>
      <c r="AB122" s="53"/>
      <c r="AC122" s="53"/>
      <c r="AD122" s="53"/>
      <c r="AE122" s="53"/>
      <c r="AF122" s="53"/>
    </row>
    <row r="123" spans="1:32" ht="15" x14ac:dyDescent="0.2">
      <c r="A123" s="59"/>
      <c r="B123" s="53"/>
      <c r="C123" s="53"/>
      <c r="D123" s="53"/>
      <c r="E123" s="53"/>
      <c r="F123" s="84"/>
      <c r="G123" s="85"/>
      <c r="H123" s="85"/>
      <c r="I123" s="85"/>
      <c r="J123" s="85"/>
      <c r="K123" s="86"/>
      <c r="L123" s="86"/>
      <c r="M123" s="86"/>
      <c r="N123" s="87"/>
      <c r="O123" s="87"/>
      <c r="P123" s="87"/>
      <c r="Q123" s="87"/>
      <c r="R123" s="87"/>
      <c r="S123" s="87"/>
      <c r="T123" s="87"/>
      <c r="U123" s="87"/>
      <c r="V123" s="87"/>
      <c r="W123" s="87"/>
      <c r="X123" s="87"/>
      <c r="Y123" s="87"/>
      <c r="Z123" s="87"/>
      <c r="AA123" s="53"/>
      <c r="AB123" s="53"/>
      <c r="AC123" s="53"/>
      <c r="AD123" s="53"/>
      <c r="AE123" s="53"/>
      <c r="AF123" s="53"/>
    </row>
    <row r="124" spans="1:32" ht="15" x14ac:dyDescent="0.2">
      <c r="A124" s="59"/>
      <c r="B124" s="53"/>
      <c r="C124" s="53"/>
      <c r="D124" s="53"/>
      <c r="E124" s="53"/>
      <c r="F124" s="84"/>
      <c r="G124" s="85"/>
      <c r="H124" s="85"/>
      <c r="I124" s="85"/>
      <c r="J124" s="85"/>
      <c r="K124" s="86"/>
      <c r="L124" s="86"/>
      <c r="M124" s="86"/>
      <c r="N124" s="87"/>
      <c r="O124" s="87"/>
      <c r="P124" s="87"/>
      <c r="Q124" s="87"/>
      <c r="R124" s="87"/>
      <c r="S124" s="87"/>
      <c r="T124" s="87"/>
      <c r="U124" s="87"/>
      <c r="V124" s="87"/>
      <c r="W124" s="87"/>
      <c r="X124" s="87"/>
      <c r="Y124" s="87"/>
      <c r="Z124" s="87"/>
      <c r="AA124" s="53"/>
      <c r="AB124" s="53"/>
      <c r="AC124" s="53"/>
      <c r="AD124" s="53"/>
      <c r="AE124" s="53"/>
      <c r="AF124" s="53"/>
    </row>
    <row r="125" spans="1:32" ht="15" x14ac:dyDescent="0.2">
      <c r="A125" s="59"/>
      <c r="B125" s="53"/>
      <c r="C125" s="53"/>
      <c r="D125" s="53"/>
      <c r="E125" s="53"/>
      <c r="F125" s="84"/>
      <c r="G125" s="85"/>
      <c r="H125" s="85"/>
      <c r="I125" s="85"/>
      <c r="J125" s="85"/>
      <c r="K125" s="86"/>
      <c r="L125" s="86"/>
      <c r="M125" s="86"/>
      <c r="N125" s="87"/>
      <c r="O125" s="87"/>
      <c r="P125" s="87"/>
      <c r="Q125" s="87"/>
      <c r="R125" s="87"/>
      <c r="S125" s="87"/>
      <c r="T125" s="87"/>
      <c r="U125" s="87"/>
      <c r="V125" s="87"/>
      <c r="W125" s="87"/>
      <c r="X125" s="87"/>
      <c r="Y125" s="87"/>
      <c r="Z125" s="87"/>
      <c r="AA125" s="53"/>
      <c r="AB125" s="53"/>
      <c r="AC125" s="53"/>
      <c r="AD125" s="53"/>
      <c r="AE125" s="53"/>
      <c r="AF125" s="53"/>
    </row>
    <row r="126" spans="1:32" ht="15" x14ac:dyDescent="0.2">
      <c r="A126" s="59"/>
      <c r="B126" s="53"/>
      <c r="C126" s="53"/>
      <c r="D126" s="53"/>
      <c r="E126" s="53"/>
      <c r="F126" s="84"/>
      <c r="G126" s="85"/>
      <c r="H126" s="85"/>
      <c r="I126" s="85"/>
      <c r="J126" s="85"/>
      <c r="K126" s="86"/>
      <c r="L126" s="86"/>
      <c r="M126" s="86"/>
      <c r="N126" s="87"/>
      <c r="O126" s="87"/>
      <c r="P126" s="87"/>
      <c r="Q126" s="87"/>
      <c r="R126" s="87"/>
      <c r="S126" s="87"/>
      <c r="T126" s="87"/>
      <c r="U126" s="87"/>
      <c r="V126" s="87"/>
      <c r="W126" s="87"/>
      <c r="X126" s="87"/>
      <c r="Y126" s="87"/>
      <c r="Z126" s="87"/>
      <c r="AA126" s="53"/>
      <c r="AB126" s="53"/>
      <c r="AC126" s="53"/>
      <c r="AD126" s="53"/>
      <c r="AE126" s="53"/>
      <c r="AF126" s="53"/>
    </row>
  </sheetData>
  <mergeCells count="1">
    <mergeCell ref="B2:AF6"/>
  </mergeCells>
  <dataValidations count="1">
    <dataValidation type="list" allowBlank="1" showInputMessage="1" showErrorMessage="1" sqref="B11:B13" xr:uid="{32DF5037-6393-4937-BEDE-C20DC297E8BA}">
      <formula1>$AA$199:$AA$208</formula1>
    </dataValidation>
  </dataValidations>
  <pageMargins left="0.7" right="0.7" top="0.75" bottom="0.75" header="0.3" footer="0.3"/>
  <pageSetup scale="25" orientation="landscape"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39997558519241921"/>
  </sheetPr>
  <dimension ref="A1:AG126"/>
  <sheetViews>
    <sheetView topLeftCell="V1" zoomScale="60" zoomScaleNormal="60" workbookViewId="0">
      <selection activeCell="A17" sqref="A17:XFD86"/>
    </sheetView>
  </sheetViews>
  <sheetFormatPr defaultColWidth="9.140625" defaultRowHeight="14.25" x14ac:dyDescent="0.2"/>
  <cols>
    <col min="1" max="1" width="8.7109375" style="67" customWidth="1"/>
    <col min="2" max="2" width="16.85546875" style="67" bestFit="1" customWidth="1"/>
    <col min="3" max="3" width="19.42578125" style="67" bestFit="1" customWidth="1"/>
    <col min="4" max="4" width="37.28515625" style="67" bestFit="1" customWidth="1"/>
    <col min="5" max="5" width="34.85546875" style="67" customWidth="1"/>
    <col min="6" max="6" width="24.42578125" style="68" bestFit="1" customWidth="1"/>
    <col min="7" max="7" width="23" style="69" bestFit="1" customWidth="1"/>
    <col min="8" max="8" width="31.5703125" style="69" customWidth="1"/>
    <col min="9" max="9" width="29.140625" style="69" customWidth="1"/>
    <col min="10" max="10" width="41.7109375" style="69" customWidth="1"/>
    <col min="11" max="11" width="32.7109375" style="70" bestFit="1" customWidth="1"/>
    <col min="12" max="12" width="7.7109375" style="70" bestFit="1" customWidth="1"/>
    <col min="13" max="13" width="25.5703125" style="70" bestFit="1" customWidth="1"/>
    <col min="14" max="14" width="27" style="71" bestFit="1" customWidth="1"/>
    <col min="15" max="15" width="16.5703125" style="71" bestFit="1" customWidth="1"/>
    <col min="16" max="17" width="16.5703125" style="71" customWidth="1"/>
    <col min="18" max="18" width="19.85546875" style="71" bestFit="1" customWidth="1"/>
    <col min="19" max="19" width="16.85546875" style="67" bestFit="1" customWidth="1"/>
    <col min="20" max="20" width="14.85546875" style="67" bestFit="1" customWidth="1"/>
    <col min="21" max="21" width="12.7109375" style="67" bestFit="1" customWidth="1"/>
    <col min="22" max="22" width="27" style="67" bestFit="1" customWidth="1"/>
    <col min="23" max="23" width="25" style="67" customWidth="1"/>
    <col min="24" max="24" width="17" style="67" bestFit="1" customWidth="1"/>
    <col min="25" max="29" width="27.85546875" style="67" customWidth="1"/>
    <col min="30" max="30" width="21.28515625" style="67" customWidth="1"/>
    <col min="31" max="31" width="26" style="67" customWidth="1"/>
    <col min="32" max="32" width="16.140625" style="67" customWidth="1"/>
    <col min="33" max="16384" width="9.140625" style="67"/>
  </cols>
  <sheetData>
    <row r="1" spans="1:33" ht="15.75" customHeight="1" thickTop="1" thickBot="1" x14ac:dyDescent="0.45">
      <c r="A1" s="55"/>
      <c r="B1" s="56"/>
      <c r="C1" s="56"/>
      <c r="D1" s="56"/>
      <c r="E1" s="56"/>
      <c r="F1" s="56"/>
      <c r="G1" s="56"/>
      <c r="H1" s="56"/>
      <c r="I1" s="56"/>
      <c r="J1" s="56"/>
      <c r="K1" s="56"/>
      <c r="L1" s="56"/>
      <c r="M1" s="56"/>
      <c r="N1" s="56"/>
      <c r="O1" s="56"/>
      <c r="P1" s="56"/>
      <c r="Q1" s="56"/>
      <c r="R1" s="56"/>
      <c r="S1" s="56"/>
      <c r="T1" s="91"/>
      <c r="U1" s="91"/>
      <c r="V1" s="91"/>
      <c r="W1" s="91"/>
      <c r="X1" s="91"/>
      <c r="Y1" s="91"/>
      <c r="Z1" s="91"/>
      <c r="AA1" s="91"/>
      <c r="AB1" s="91"/>
      <c r="AC1" s="91"/>
      <c r="AD1" s="91"/>
      <c r="AE1" s="91"/>
      <c r="AF1" s="91"/>
      <c r="AG1" s="92"/>
    </row>
    <row r="2" spans="1:33" ht="15" customHeight="1" x14ac:dyDescent="0.25">
      <c r="A2" s="57"/>
      <c r="B2" s="505" t="str">
        <f>IF('Stage Generator'!F18="","",'Stage Generator'!F18&amp;" Well Summary")</f>
        <v>Well B Well Summary</v>
      </c>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7"/>
      <c r="AG2" s="77"/>
    </row>
    <row r="3" spans="1:33" ht="15" customHeight="1" x14ac:dyDescent="0.25">
      <c r="A3" s="57"/>
      <c r="B3" s="508"/>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10"/>
      <c r="AG3" s="77"/>
    </row>
    <row r="4" spans="1:33" ht="15" customHeight="1" x14ac:dyDescent="0.25">
      <c r="A4" s="57"/>
      <c r="B4" s="508"/>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10"/>
      <c r="AG4" s="77"/>
    </row>
    <row r="5" spans="1:33" ht="15" customHeight="1" x14ac:dyDescent="0.25">
      <c r="A5" s="57"/>
      <c r="B5" s="508"/>
      <c r="C5" s="509"/>
      <c r="D5" s="509"/>
      <c r="E5" s="509"/>
      <c r="F5" s="509"/>
      <c r="G5" s="509"/>
      <c r="H5" s="509"/>
      <c r="I5" s="509"/>
      <c r="J5" s="509"/>
      <c r="K5" s="509"/>
      <c r="L5" s="509"/>
      <c r="M5" s="509"/>
      <c r="N5" s="509"/>
      <c r="O5" s="509"/>
      <c r="P5" s="509"/>
      <c r="Q5" s="509"/>
      <c r="R5" s="509"/>
      <c r="S5" s="509"/>
      <c r="T5" s="509"/>
      <c r="U5" s="509"/>
      <c r="V5" s="509"/>
      <c r="W5" s="509"/>
      <c r="X5" s="509"/>
      <c r="Y5" s="509"/>
      <c r="Z5" s="509"/>
      <c r="AA5" s="509"/>
      <c r="AB5" s="509"/>
      <c r="AC5" s="509"/>
      <c r="AD5" s="509"/>
      <c r="AE5" s="509"/>
      <c r="AF5" s="510"/>
      <c r="AG5" s="77"/>
    </row>
    <row r="6" spans="1:33" ht="15.75" customHeight="1" thickBot="1" x14ac:dyDescent="0.3">
      <c r="A6" s="58"/>
      <c r="B6" s="511"/>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3"/>
      <c r="AG6" s="77"/>
    </row>
    <row r="7" spans="1:33" ht="16.5" customHeight="1" x14ac:dyDescent="0.2">
      <c r="A7" s="59"/>
      <c r="B7" s="52"/>
      <c r="C7" s="52"/>
      <c r="D7" s="52"/>
      <c r="E7" s="52"/>
      <c r="F7" s="52"/>
      <c r="G7" s="52"/>
      <c r="H7" s="52"/>
      <c r="I7" s="52"/>
      <c r="J7" s="52"/>
      <c r="K7" s="52"/>
      <c r="L7" s="52"/>
      <c r="M7" s="52"/>
      <c r="N7" s="52"/>
      <c r="O7" s="52"/>
      <c r="P7" s="52"/>
      <c r="Q7" s="52"/>
      <c r="R7" s="52"/>
      <c r="S7" s="52"/>
      <c r="T7" s="76"/>
      <c r="U7" s="76"/>
      <c r="V7" s="76"/>
      <c r="W7" s="76"/>
      <c r="X7" s="76"/>
      <c r="Y7" s="76"/>
      <c r="Z7" s="76"/>
      <c r="AA7" s="76"/>
      <c r="AB7" s="76"/>
      <c r="AC7" s="76"/>
      <c r="AD7" s="76"/>
      <c r="AE7" s="76"/>
      <c r="AF7" s="76"/>
      <c r="AG7" s="77"/>
    </row>
    <row r="8" spans="1:33" ht="15.75" thickBot="1" x14ac:dyDescent="0.25">
      <c r="A8" s="59"/>
      <c r="B8" s="72"/>
      <c r="C8" s="72"/>
      <c r="D8" s="72"/>
      <c r="E8" s="72"/>
      <c r="F8" s="73"/>
      <c r="G8" s="74"/>
      <c r="H8" s="74"/>
      <c r="I8" s="74"/>
      <c r="J8" s="74"/>
      <c r="K8" s="75"/>
      <c r="L8" s="75"/>
      <c r="M8" s="75"/>
      <c r="N8" s="76"/>
      <c r="O8" s="76"/>
      <c r="P8" s="76"/>
      <c r="Q8" s="76"/>
      <c r="R8" s="76"/>
      <c r="S8" s="76"/>
      <c r="T8" s="76"/>
      <c r="U8" s="76"/>
      <c r="V8" s="76"/>
      <c r="W8" s="76"/>
      <c r="X8" s="76"/>
      <c r="Y8" s="76"/>
      <c r="Z8" s="76"/>
      <c r="AA8" s="76"/>
      <c r="AB8" s="76"/>
      <c r="AC8" s="76"/>
      <c r="AD8" s="76"/>
      <c r="AE8" s="76"/>
      <c r="AF8" s="76"/>
      <c r="AG8" s="77"/>
    </row>
    <row r="9" spans="1:33" ht="16.5" thickBot="1" x14ac:dyDescent="0.3">
      <c r="A9" s="59"/>
      <c r="B9" s="17" t="s">
        <v>0</v>
      </c>
      <c r="C9" s="136"/>
      <c r="D9" s="35"/>
      <c r="E9" s="35"/>
      <c r="F9" s="35"/>
      <c r="G9" s="35"/>
      <c r="H9" s="35"/>
      <c r="I9" s="35"/>
      <c r="J9" s="74"/>
      <c r="K9" s="75"/>
      <c r="L9" s="75"/>
      <c r="M9" s="75"/>
      <c r="N9" s="76"/>
      <c r="O9" s="76"/>
      <c r="P9" s="76"/>
      <c r="Q9" s="76"/>
      <c r="R9" s="76"/>
      <c r="S9" s="76"/>
      <c r="T9" s="76"/>
      <c r="U9" s="76"/>
      <c r="V9" s="76"/>
      <c r="W9" s="76"/>
      <c r="X9" s="76"/>
      <c r="Y9" s="76"/>
      <c r="Z9" s="76"/>
      <c r="AA9" s="76"/>
      <c r="AB9" s="76"/>
      <c r="AC9" s="76"/>
      <c r="AD9" s="76"/>
      <c r="AE9" s="76"/>
      <c r="AF9" s="76"/>
      <c r="AG9" s="77"/>
    </row>
    <row r="10" spans="1:33" ht="16.5" thickBot="1" x14ac:dyDescent="0.3">
      <c r="A10" s="59"/>
      <c r="B10" s="16" t="s">
        <v>25</v>
      </c>
      <c r="C10" s="18" t="s">
        <v>42</v>
      </c>
      <c r="D10" s="19" t="s">
        <v>43</v>
      </c>
      <c r="E10" s="20" t="s">
        <v>44</v>
      </c>
      <c r="F10" s="20" t="s">
        <v>45</v>
      </c>
      <c r="G10" s="21" t="s">
        <v>46</v>
      </c>
      <c r="H10" s="74"/>
      <c r="I10" s="74"/>
      <c r="J10" s="74"/>
      <c r="K10" s="75"/>
      <c r="L10" s="75"/>
      <c r="M10" s="75"/>
      <c r="N10" s="76"/>
      <c r="O10" s="76"/>
      <c r="P10" s="76"/>
      <c r="Q10" s="76"/>
      <c r="R10" s="76"/>
      <c r="S10" s="76"/>
      <c r="T10" s="76"/>
      <c r="U10" s="76"/>
      <c r="V10" s="76"/>
      <c r="W10" s="76"/>
      <c r="X10" s="76"/>
      <c r="Y10" s="76"/>
      <c r="Z10" s="76"/>
      <c r="AA10" s="76"/>
      <c r="AB10" s="76"/>
      <c r="AC10" s="76"/>
      <c r="AD10" s="76"/>
      <c r="AE10" s="76"/>
      <c r="AF10" s="76"/>
      <c r="AG10" s="77"/>
    </row>
    <row r="11" spans="1:33" ht="16.5" thickBot="1" x14ac:dyDescent="0.25">
      <c r="A11" s="59"/>
      <c r="B11" s="128" t="s">
        <v>9</v>
      </c>
      <c r="C11" s="132"/>
      <c r="D11" s="121"/>
      <c r="E11" s="133"/>
      <c r="F11" s="150"/>
      <c r="G11" s="15"/>
      <c r="H11" s="35"/>
      <c r="I11" s="35"/>
      <c r="J11" s="74"/>
      <c r="K11" s="75"/>
      <c r="L11" s="75"/>
      <c r="M11" s="75"/>
      <c r="N11" s="76"/>
      <c r="O11" s="76"/>
      <c r="P11" s="76"/>
      <c r="Q11" s="76"/>
      <c r="R11" s="76"/>
      <c r="S11" s="76"/>
      <c r="T11" s="76"/>
      <c r="U11" s="76"/>
      <c r="V11" s="76"/>
      <c r="W11" s="76"/>
      <c r="X11" s="76"/>
      <c r="Y11" s="76"/>
      <c r="Z11" s="76"/>
      <c r="AA11" s="76"/>
      <c r="AB11" s="76"/>
      <c r="AC11" s="76"/>
      <c r="AD11" s="76"/>
      <c r="AE11" s="76"/>
      <c r="AF11" s="76"/>
      <c r="AG11" s="77"/>
    </row>
    <row r="12" spans="1:33" ht="16.5" thickBot="1" x14ac:dyDescent="0.25">
      <c r="A12" s="59"/>
      <c r="B12" s="128" t="s">
        <v>40</v>
      </c>
      <c r="C12" s="132"/>
      <c r="D12" s="121"/>
      <c r="E12" s="121"/>
      <c r="F12" s="150"/>
      <c r="G12" s="150"/>
      <c r="H12" s="74"/>
      <c r="I12" s="74"/>
      <c r="J12" s="74"/>
      <c r="K12" s="75"/>
      <c r="L12" s="75"/>
      <c r="M12" s="75"/>
      <c r="N12" s="76"/>
      <c r="O12" s="76"/>
      <c r="P12" s="76"/>
      <c r="Q12" s="76"/>
      <c r="R12" s="76"/>
      <c r="S12" s="76"/>
      <c r="T12" s="76"/>
      <c r="U12" s="76"/>
      <c r="V12" s="76"/>
      <c r="W12" s="76"/>
      <c r="X12" s="76"/>
      <c r="Y12" s="76"/>
      <c r="Z12" s="76"/>
      <c r="AA12" s="76"/>
      <c r="AB12" s="76"/>
      <c r="AC12" s="76"/>
      <c r="AD12" s="76"/>
      <c r="AE12" s="76"/>
      <c r="AF12" s="76"/>
      <c r="AG12" s="77"/>
    </row>
    <row r="13" spans="1:33" ht="16.5" thickBot="1" x14ac:dyDescent="0.25">
      <c r="A13" s="59"/>
      <c r="B13" s="129" t="s">
        <v>41</v>
      </c>
      <c r="C13" s="134"/>
      <c r="D13" s="135"/>
      <c r="E13" s="131"/>
      <c r="F13" s="151"/>
      <c r="G13" s="151"/>
      <c r="H13" s="35"/>
      <c r="I13" s="35"/>
      <c r="J13" s="74"/>
      <c r="K13" s="75"/>
      <c r="L13" s="75"/>
      <c r="M13" s="75"/>
      <c r="N13" s="76"/>
      <c r="O13" s="76"/>
      <c r="P13" s="76"/>
      <c r="Q13" s="76"/>
      <c r="R13" s="76"/>
      <c r="S13" s="76"/>
      <c r="T13" s="76"/>
      <c r="U13" s="76"/>
      <c r="V13" s="76"/>
      <c r="W13" s="76"/>
      <c r="X13" s="76"/>
      <c r="Y13" s="76"/>
      <c r="Z13" s="76"/>
      <c r="AA13" s="76"/>
      <c r="AB13" s="76"/>
      <c r="AC13" s="76"/>
      <c r="AD13" s="76"/>
      <c r="AE13" s="76"/>
      <c r="AF13" s="76"/>
      <c r="AG13" s="77"/>
    </row>
    <row r="14" spans="1:33" ht="15" x14ac:dyDescent="0.2">
      <c r="A14" s="59"/>
      <c r="B14" s="72"/>
      <c r="C14" s="72"/>
      <c r="D14" s="72"/>
      <c r="E14" s="72"/>
      <c r="F14" s="73"/>
      <c r="G14" s="74"/>
      <c r="H14" s="74"/>
      <c r="I14" s="74"/>
      <c r="J14" s="74"/>
      <c r="K14" s="75"/>
      <c r="L14" s="75"/>
      <c r="M14" s="75"/>
      <c r="N14" s="76"/>
      <c r="O14" s="76"/>
      <c r="P14" s="76"/>
      <c r="Q14" s="76"/>
      <c r="R14" s="76"/>
      <c r="S14" s="76"/>
      <c r="T14" s="76"/>
      <c r="U14" s="76"/>
      <c r="V14" s="76"/>
      <c r="W14" s="76"/>
      <c r="X14" s="76"/>
      <c r="Y14" s="76"/>
      <c r="Z14" s="76"/>
      <c r="AA14" s="76"/>
      <c r="AB14" s="76"/>
      <c r="AC14" s="76"/>
      <c r="AD14" s="76"/>
      <c r="AE14" s="76"/>
      <c r="AF14" s="76"/>
      <c r="AG14" s="77"/>
    </row>
    <row r="15" spans="1:33" ht="15" x14ac:dyDescent="0.2">
      <c r="A15" s="59"/>
      <c r="B15" s="72"/>
      <c r="C15" s="72"/>
      <c r="D15" s="72"/>
      <c r="E15" s="72"/>
      <c r="F15" s="73"/>
      <c r="G15" s="74"/>
      <c r="H15" s="74"/>
      <c r="I15" s="74"/>
      <c r="J15" s="74"/>
      <c r="K15" s="75"/>
      <c r="L15" s="75"/>
      <c r="M15" s="75"/>
      <c r="N15" s="76"/>
      <c r="O15" s="76"/>
      <c r="P15" s="76"/>
      <c r="Q15" s="76"/>
      <c r="R15" s="76"/>
      <c r="S15" s="76"/>
      <c r="T15" s="76"/>
      <c r="U15" s="76"/>
      <c r="V15" s="76"/>
      <c r="W15" s="76"/>
      <c r="X15" s="76"/>
      <c r="Y15" s="76"/>
      <c r="Z15" s="76"/>
      <c r="AA15" s="76"/>
      <c r="AB15" s="76"/>
      <c r="AC15" s="76"/>
      <c r="AD15" s="76"/>
      <c r="AE15" s="76"/>
      <c r="AF15" s="76"/>
      <c r="AG15" s="77"/>
    </row>
    <row r="16" spans="1:33" ht="15.75" thickBot="1" x14ac:dyDescent="0.25">
      <c r="A16" s="59"/>
      <c r="B16" s="72"/>
      <c r="C16" s="72"/>
      <c r="D16" s="72"/>
      <c r="E16" s="72"/>
      <c r="F16" s="73"/>
      <c r="G16" s="74"/>
      <c r="H16" s="74"/>
      <c r="I16" s="74"/>
      <c r="J16" s="74"/>
      <c r="K16" s="75"/>
      <c r="L16" s="75"/>
      <c r="M16" s="75"/>
      <c r="N16" s="76"/>
      <c r="O16" s="76"/>
      <c r="P16" s="76"/>
      <c r="Q16" s="76"/>
      <c r="R16" s="76"/>
      <c r="S16" s="76"/>
      <c r="T16" s="76"/>
      <c r="U16" s="76"/>
      <c r="V16" s="76"/>
      <c r="W16" s="76"/>
      <c r="X16" s="72"/>
      <c r="Y16" s="72"/>
      <c r="Z16" s="72"/>
      <c r="AA16" s="72"/>
      <c r="AB16" s="72"/>
      <c r="AC16" s="72"/>
      <c r="AD16" s="72"/>
      <c r="AE16" s="72"/>
      <c r="AF16" s="72"/>
      <c r="AG16" s="93"/>
    </row>
    <row r="17" spans="1:33" s="83" customFormat="1" ht="15.75" x14ac:dyDescent="0.25">
      <c r="A17" s="82"/>
      <c r="B17" s="97" t="s">
        <v>144</v>
      </c>
      <c r="C17" s="97" t="s">
        <v>10</v>
      </c>
      <c r="D17" s="97" t="s">
        <v>148</v>
      </c>
      <c r="E17" s="97" t="s">
        <v>147</v>
      </c>
      <c r="F17" s="98" t="s">
        <v>145</v>
      </c>
      <c r="G17" s="99" t="s">
        <v>149</v>
      </c>
      <c r="H17" s="99" t="s">
        <v>180</v>
      </c>
      <c r="I17" s="99" t="s">
        <v>181</v>
      </c>
      <c r="J17" s="221" t="s">
        <v>190</v>
      </c>
      <c r="K17" s="100" t="s">
        <v>150</v>
      </c>
      <c r="L17" s="100" t="s">
        <v>152</v>
      </c>
      <c r="M17" s="100" t="s">
        <v>153</v>
      </c>
      <c r="N17" s="101" t="s">
        <v>185</v>
      </c>
      <c r="O17" s="101" t="str">
        <f>IF(Template!H30 = "","Total Sand",Template!H30)</f>
        <v>Total Sand</v>
      </c>
      <c r="P17" s="101" t="str">
        <f>IF(Template!H35 = "","Total Sand",Template!H35)</f>
        <v>Total Sand</v>
      </c>
      <c r="Q17" s="101" t="str">
        <f>IF(Template!H40 = "","Total Sand",Template!H40)</f>
        <v>Total Sand</v>
      </c>
      <c r="R17" s="101" t="s">
        <v>155</v>
      </c>
      <c r="S17" s="97" t="s">
        <v>158</v>
      </c>
      <c r="T17" s="97" t="s">
        <v>193</v>
      </c>
      <c r="U17" s="97" t="s">
        <v>194</v>
      </c>
      <c r="V17" s="97" t="s">
        <v>196</v>
      </c>
      <c r="W17" s="101" t="s">
        <v>191</v>
      </c>
      <c r="X17" s="101" t="s">
        <v>162</v>
      </c>
      <c r="Y17" s="101" t="s">
        <v>163</v>
      </c>
      <c r="Z17" s="101" t="s">
        <v>168</v>
      </c>
      <c r="AA17" s="97" t="s">
        <v>102</v>
      </c>
      <c r="AB17" s="97" t="s">
        <v>169</v>
      </c>
      <c r="AC17" s="97" t="s">
        <v>103</v>
      </c>
      <c r="AD17" s="97" t="s">
        <v>170</v>
      </c>
      <c r="AE17" s="97" t="s">
        <v>165</v>
      </c>
      <c r="AF17" s="97" t="s">
        <v>197</v>
      </c>
      <c r="AG17" s="94"/>
    </row>
    <row r="18" spans="1:33" s="83" customFormat="1" ht="16.5" thickBot="1" x14ac:dyDescent="0.3">
      <c r="A18" s="82"/>
      <c r="B18" s="102" t="s">
        <v>157</v>
      </c>
      <c r="C18" s="103" t="s">
        <v>156</v>
      </c>
      <c r="D18" s="104" t="s">
        <v>146</v>
      </c>
      <c r="E18" s="105" t="s">
        <v>146</v>
      </c>
      <c r="F18" s="105" t="s">
        <v>146</v>
      </c>
      <c r="G18" s="105" t="s">
        <v>146</v>
      </c>
      <c r="H18" s="105" t="s">
        <v>146</v>
      </c>
      <c r="I18" s="105" t="s">
        <v>146</v>
      </c>
      <c r="J18" s="105" t="s">
        <v>146</v>
      </c>
      <c r="K18" s="106" t="s">
        <v>151</v>
      </c>
      <c r="L18" s="106" t="s">
        <v>151</v>
      </c>
      <c r="M18" s="106" t="s">
        <v>98</v>
      </c>
      <c r="N18" s="106" t="s">
        <v>98</v>
      </c>
      <c r="O18" s="106" t="s">
        <v>154</v>
      </c>
      <c r="P18" s="106" t="s">
        <v>154</v>
      </c>
      <c r="Q18" s="106" t="s">
        <v>154</v>
      </c>
      <c r="R18" s="106" t="s">
        <v>98</v>
      </c>
      <c r="S18" s="106" t="s">
        <v>159</v>
      </c>
      <c r="T18" s="106" t="s">
        <v>195</v>
      </c>
      <c r="U18" s="106" t="s">
        <v>195</v>
      </c>
      <c r="V18" s="106" t="s">
        <v>143</v>
      </c>
      <c r="W18" s="106" t="s">
        <v>161</v>
      </c>
      <c r="X18" s="106" t="s">
        <v>143</v>
      </c>
      <c r="Y18" s="106" t="s">
        <v>164</v>
      </c>
      <c r="Z18" s="106" t="s">
        <v>98</v>
      </c>
      <c r="AA18" s="102" t="s">
        <v>164</v>
      </c>
      <c r="AB18" s="102" t="s">
        <v>98</v>
      </c>
      <c r="AC18" s="102" t="s">
        <v>164</v>
      </c>
      <c r="AD18" s="102" t="s">
        <v>98</v>
      </c>
      <c r="AE18" s="102" t="s">
        <v>166</v>
      </c>
      <c r="AF18" s="102" t="s">
        <v>98</v>
      </c>
      <c r="AG18" s="94"/>
    </row>
    <row r="19" spans="1:33" s="88" customFormat="1" ht="15" x14ac:dyDescent="0.2">
      <c r="A19" s="59"/>
      <c r="B19" s="112"/>
      <c r="C19" s="119"/>
      <c r="D19" s="137"/>
      <c r="E19" s="137"/>
      <c r="F19" s="137"/>
      <c r="G19" s="137"/>
      <c r="H19" s="137"/>
      <c r="I19" s="137"/>
      <c r="J19" s="138" t="str">
        <f>IF(OR(H19="",G19=""),"",H19-G19)</f>
        <v/>
      </c>
      <c r="K19" s="140"/>
      <c r="L19" s="140"/>
      <c r="M19" s="143"/>
      <c r="N19" s="143"/>
      <c r="O19" s="143"/>
      <c r="P19" s="143"/>
      <c r="Q19" s="143"/>
      <c r="R19" s="143"/>
      <c r="S19" s="146"/>
      <c r="T19" s="146"/>
      <c r="U19" s="146"/>
      <c r="V19" s="146"/>
      <c r="W19" s="113"/>
      <c r="X19" s="113"/>
      <c r="Y19" s="113"/>
      <c r="Z19" s="143"/>
      <c r="AA19" s="112"/>
      <c r="AB19" s="143"/>
      <c r="AC19" s="112"/>
      <c r="AD19" s="143"/>
      <c r="AE19" s="143"/>
      <c r="AF19" s="112"/>
      <c r="AG19" s="60"/>
    </row>
    <row r="20" spans="1:33" s="88" customFormat="1" ht="15.75" customHeight="1" x14ac:dyDescent="0.2">
      <c r="A20" s="59"/>
      <c r="B20" s="114"/>
      <c r="C20" s="120"/>
      <c r="D20" s="138"/>
      <c r="E20" s="138"/>
      <c r="F20" s="138"/>
      <c r="G20" s="138"/>
      <c r="H20" s="138"/>
      <c r="I20" s="138"/>
      <c r="J20" s="138" t="str">
        <f>IF(OR(H20="",G20=""),"",H20-G20)</f>
        <v/>
      </c>
      <c r="K20" s="141"/>
      <c r="L20" s="141"/>
      <c r="M20" s="144"/>
      <c r="N20" s="144"/>
      <c r="O20" s="144"/>
      <c r="P20" s="144"/>
      <c r="Q20" s="144"/>
      <c r="R20" s="144"/>
      <c r="S20" s="147"/>
      <c r="T20" s="147"/>
      <c r="U20" s="147"/>
      <c r="V20" s="147"/>
      <c r="W20" s="115"/>
      <c r="X20" s="115"/>
      <c r="Y20" s="115"/>
      <c r="Z20" s="144"/>
      <c r="AA20" s="114"/>
      <c r="AB20" s="144"/>
      <c r="AC20" s="114"/>
      <c r="AD20" s="144"/>
      <c r="AE20" s="144"/>
      <c r="AF20" s="114"/>
      <c r="AG20" s="60"/>
    </row>
    <row r="21" spans="1:33" s="88" customFormat="1" ht="15" x14ac:dyDescent="0.2">
      <c r="A21" s="59"/>
      <c r="B21" s="114"/>
      <c r="C21" s="114"/>
      <c r="D21" s="138"/>
      <c r="E21" s="138"/>
      <c r="F21" s="138"/>
      <c r="G21" s="138"/>
      <c r="H21" s="138"/>
      <c r="I21" s="138"/>
      <c r="J21" s="138" t="str">
        <f t="shared" ref="J21:J84" si="0">IF(OR(H21="",G21=""),"",H21-G21)</f>
        <v/>
      </c>
      <c r="K21" s="141"/>
      <c r="L21" s="141"/>
      <c r="M21" s="144"/>
      <c r="N21" s="144"/>
      <c r="O21" s="144"/>
      <c r="P21" s="144"/>
      <c r="Q21" s="144"/>
      <c r="R21" s="144"/>
      <c r="S21" s="147"/>
      <c r="T21" s="147"/>
      <c r="U21" s="147"/>
      <c r="V21" s="147"/>
      <c r="W21" s="115"/>
      <c r="X21" s="115"/>
      <c r="Y21" s="115"/>
      <c r="Z21" s="144"/>
      <c r="AA21" s="114"/>
      <c r="AB21" s="144"/>
      <c r="AC21" s="114"/>
      <c r="AD21" s="144"/>
      <c r="AE21" s="144"/>
      <c r="AF21" s="114"/>
      <c r="AG21" s="60"/>
    </row>
    <row r="22" spans="1:33" s="88" customFormat="1" ht="15" x14ac:dyDescent="0.2">
      <c r="A22" s="59"/>
      <c r="B22" s="114"/>
      <c r="C22" s="114"/>
      <c r="D22" s="138"/>
      <c r="E22" s="138"/>
      <c r="F22" s="138"/>
      <c r="G22" s="138"/>
      <c r="H22" s="138"/>
      <c r="I22" s="138"/>
      <c r="J22" s="138" t="str">
        <f t="shared" si="0"/>
        <v/>
      </c>
      <c r="K22" s="141"/>
      <c r="L22" s="141"/>
      <c r="M22" s="144"/>
      <c r="N22" s="144"/>
      <c r="O22" s="144"/>
      <c r="P22" s="144"/>
      <c r="Q22" s="144"/>
      <c r="R22" s="144"/>
      <c r="S22" s="147"/>
      <c r="T22" s="147"/>
      <c r="U22" s="147"/>
      <c r="V22" s="147"/>
      <c r="W22" s="115"/>
      <c r="X22" s="115"/>
      <c r="Y22" s="115"/>
      <c r="Z22" s="144"/>
      <c r="AA22" s="114"/>
      <c r="AB22" s="144"/>
      <c r="AC22" s="114"/>
      <c r="AD22" s="144"/>
      <c r="AE22" s="144"/>
      <c r="AF22" s="114"/>
      <c r="AG22" s="60"/>
    </row>
    <row r="23" spans="1:33" s="88" customFormat="1" ht="15" x14ac:dyDescent="0.2">
      <c r="A23" s="59"/>
      <c r="B23" s="114"/>
      <c r="C23" s="114"/>
      <c r="D23" s="138"/>
      <c r="E23" s="138"/>
      <c r="F23" s="138"/>
      <c r="G23" s="138"/>
      <c r="H23" s="138"/>
      <c r="I23" s="138"/>
      <c r="J23" s="138" t="str">
        <f t="shared" si="0"/>
        <v/>
      </c>
      <c r="K23" s="141"/>
      <c r="L23" s="141"/>
      <c r="M23" s="144"/>
      <c r="N23" s="144"/>
      <c r="O23" s="144"/>
      <c r="P23" s="144"/>
      <c r="Q23" s="144"/>
      <c r="R23" s="144"/>
      <c r="S23" s="147"/>
      <c r="T23" s="147"/>
      <c r="U23" s="147"/>
      <c r="V23" s="147"/>
      <c r="W23" s="115"/>
      <c r="X23" s="115"/>
      <c r="Y23" s="115"/>
      <c r="Z23" s="144"/>
      <c r="AA23" s="114"/>
      <c r="AB23" s="144"/>
      <c r="AC23" s="114"/>
      <c r="AD23" s="144"/>
      <c r="AE23" s="144"/>
      <c r="AF23" s="114"/>
      <c r="AG23" s="60"/>
    </row>
    <row r="24" spans="1:33" s="88" customFormat="1" ht="15" x14ac:dyDescent="0.2">
      <c r="A24" s="59"/>
      <c r="B24" s="114"/>
      <c r="C24" s="114"/>
      <c r="D24" s="138"/>
      <c r="E24" s="138"/>
      <c r="F24" s="138"/>
      <c r="G24" s="138"/>
      <c r="H24" s="138"/>
      <c r="I24" s="138"/>
      <c r="J24" s="138" t="str">
        <f t="shared" si="0"/>
        <v/>
      </c>
      <c r="K24" s="141"/>
      <c r="L24" s="141"/>
      <c r="M24" s="144"/>
      <c r="N24" s="144"/>
      <c r="O24" s="144"/>
      <c r="P24" s="144"/>
      <c r="Q24" s="144"/>
      <c r="R24" s="144"/>
      <c r="S24" s="147"/>
      <c r="T24" s="147"/>
      <c r="U24" s="147"/>
      <c r="V24" s="147"/>
      <c r="W24" s="115"/>
      <c r="X24" s="115"/>
      <c r="Y24" s="115"/>
      <c r="Z24" s="144"/>
      <c r="AA24" s="114"/>
      <c r="AB24" s="144"/>
      <c r="AC24" s="114"/>
      <c r="AD24" s="144"/>
      <c r="AE24" s="144"/>
      <c r="AF24" s="114"/>
      <c r="AG24" s="60"/>
    </row>
    <row r="25" spans="1:33" s="88" customFormat="1" ht="15" x14ac:dyDescent="0.2">
      <c r="A25" s="59"/>
      <c r="B25" s="114"/>
      <c r="C25" s="114"/>
      <c r="D25" s="138"/>
      <c r="E25" s="138"/>
      <c r="F25" s="138"/>
      <c r="G25" s="138"/>
      <c r="H25" s="138"/>
      <c r="I25" s="138"/>
      <c r="J25" s="138" t="str">
        <f t="shared" si="0"/>
        <v/>
      </c>
      <c r="K25" s="141"/>
      <c r="L25" s="141"/>
      <c r="M25" s="144"/>
      <c r="N25" s="144"/>
      <c r="O25" s="144"/>
      <c r="P25" s="144"/>
      <c r="Q25" s="144"/>
      <c r="R25" s="144"/>
      <c r="S25" s="147"/>
      <c r="T25" s="147"/>
      <c r="U25" s="147"/>
      <c r="V25" s="147"/>
      <c r="W25" s="115"/>
      <c r="X25" s="115"/>
      <c r="Y25" s="115"/>
      <c r="Z25" s="144"/>
      <c r="AA25" s="114"/>
      <c r="AB25" s="144"/>
      <c r="AC25" s="114"/>
      <c r="AD25" s="144"/>
      <c r="AE25" s="144"/>
      <c r="AF25" s="114"/>
      <c r="AG25" s="60"/>
    </row>
    <row r="26" spans="1:33" s="88" customFormat="1" ht="15" x14ac:dyDescent="0.2">
      <c r="A26" s="59"/>
      <c r="B26" s="114"/>
      <c r="C26" s="114"/>
      <c r="D26" s="138"/>
      <c r="E26" s="138"/>
      <c r="F26" s="138"/>
      <c r="G26" s="138"/>
      <c r="H26" s="138"/>
      <c r="I26" s="138"/>
      <c r="J26" s="138" t="str">
        <f t="shared" si="0"/>
        <v/>
      </c>
      <c r="K26" s="141"/>
      <c r="L26" s="141"/>
      <c r="M26" s="144"/>
      <c r="N26" s="144"/>
      <c r="O26" s="144"/>
      <c r="P26" s="144"/>
      <c r="Q26" s="144"/>
      <c r="R26" s="144"/>
      <c r="S26" s="147"/>
      <c r="T26" s="147"/>
      <c r="U26" s="147"/>
      <c r="V26" s="147"/>
      <c r="W26" s="115"/>
      <c r="X26" s="115"/>
      <c r="Y26" s="115"/>
      <c r="Z26" s="144"/>
      <c r="AA26" s="114"/>
      <c r="AB26" s="144"/>
      <c r="AC26" s="114"/>
      <c r="AD26" s="144"/>
      <c r="AE26" s="144"/>
      <c r="AF26" s="114"/>
      <c r="AG26" s="60"/>
    </row>
    <row r="27" spans="1:33" s="88" customFormat="1" ht="15" x14ac:dyDescent="0.2">
      <c r="A27" s="59"/>
      <c r="B27" s="114"/>
      <c r="C27" s="114"/>
      <c r="D27" s="138"/>
      <c r="E27" s="138"/>
      <c r="F27" s="138"/>
      <c r="G27" s="138"/>
      <c r="H27" s="138"/>
      <c r="I27" s="138"/>
      <c r="J27" s="138" t="str">
        <f t="shared" si="0"/>
        <v/>
      </c>
      <c r="K27" s="141"/>
      <c r="L27" s="141"/>
      <c r="M27" s="144"/>
      <c r="N27" s="144"/>
      <c r="O27" s="144"/>
      <c r="P27" s="144"/>
      <c r="Q27" s="144"/>
      <c r="R27" s="144"/>
      <c r="S27" s="147"/>
      <c r="T27" s="147"/>
      <c r="U27" s="147"/>
      <c r="V27" s="147"/>
      <c r="W27" s="115"/>
      <c r="X27" s="115"/>
      <c r="Y27" s="115"/>
      <c r="Z27" s="144"/>
      <c r="AA27" s="114"/>
      <c r="AB27" s="144"/>
      <c r="AC27" s="114"/>
      <c r="AD27" s="144"/>
      <c r="AE27" s="144"/>
      <c r="AF27" s="114"/>
      <c r="AG27" s="60"/>
    </row>
    <row r="28" spans="1:33" s="88" customFormat="1" ht="15" x14ac:dyDescent="0.2">
      <c r="A28" s="59"/>
      <c r="B28" s="114"/>
      <c r="C28" s="114"/>
      <c r="D28" s="138"/>
      <c r="E28" s="138"/>
      <c r="F28" s="138"/>
      <c r="G28" s="138"/>
      <c r="H28" s="138"/>
      <c r="I28" s="138"/>
      <c r="J28" s="138" t="str">
        <f t="shared" si="0"/>
        <v/>
      </c>
      <c r="K28" s="141"/>
      <c r="L28" s="141"/>
      <c r="M28" s="144"/>
      <c r="N28" s="144"/>
      <c r="O28" s="144"/>
      <c r="P28" s="144"/>
      <c r="Q28" s="144"/>
      <c r="R28" s="144"/>
      <c r="S28" s="147"/>
      <c r="T28" s="147"/>
      <c r="U28" s="147"/>
      <c r="V28" s="147"/>
      <c r="W28" s="115"/>
      <c r="X28" s="115"/>
      <c r="Y28" s="115"/>
      <c r="Z28" s="144"/>
      <c r="AA28" s="114"/>
      <c r="AB28" s="144"/>
      <c r="AC28" s="114"/>
      <c r="AD28" s="144"/>
      <c r="AE28" s="144"/>
      <c r="AF28" s="114"/>
      <c r="AG28" s="60"/>
    </row>
    <row r="29" spans="1:33" s="88" customFormat="1" ht="15" x14ac:dyDescent="0.2">
      <c r="A29" s="59"/>
      <c r="B29" s="114"/>
      <c r="C29" s="114"/>
      <c r="D29" s="138"/>
      <c r="E29" s="138"/>
      <c r="F29" s="138"/>
      <c r="G29" s="138"/>
      <c r="H29" s="138"/>
      <c r="I29" s="138"/>
      <c r="J29" s="138" t="str">
        <f t="shared" si="0"/>
        <v/>
      </c>
      <c r="K29" s="141"/>
      <c r="L29" s="141"/>
      <c r="M29" s="144"/>
      <c r="N29" s="144"/>
      <c r="O29" s="144"/>
      <c r="P29" s="144"/>
      <c r="Q29" s="144"/>
      <c r="R29" s="144"/>
      <c r="S29" s="147"/>
      <c r="T29" s="147"/>
      <c r="U29" s="147"/>
      <c r="V29" s="147"/>
      <c r="W29" s="115"/>
      <c r="X29" s="115"/>
      <c r="Y29" s="115"/>
      <c r="Z29" s="144"/>
      <c r="AA29" s="114"/>
      <c r="AB29" s="144"/>
      <c r="AC29" s="114"/>
      <c r="AD29" s="144"/>
      <c r="AE29" s="144"/>
      <c r="AF29" s="114"/>
      <c r="AG29" s="60"/>
    </row>
    <row r="30" spans="1:33" s="88" customFormat="1" ht="15" x14ac:dyDescent="0.2">
      <c r="A30" s="59"/>
      <c r="B30" s="114"/>
      <c r="C30" s="114"/>
      <c r="D30" s="138"/>
      <c r="E30" s="138"/>
      <c r="F30" s="138"/>
      <c r="G30" s="138"/>
      <c r="H30" s="138"/>
      <c r="I30" s="138"/>
      <c r="J30" s="138" t="str">
        <f t="shared" si="0"/>
        <v/>
      </c>
      <c r="K30" s="141"/>
      <c r="L30" s="141"/>
      <c r="M30" s="144"/>
      <c r="N30" s="144"/>
      <c r="O30" s="144"/>
      <c r="P30" s="144"/>
      <c r="Q30" s="144"/>
      <c r="R30" s="144"/>
      <c r="S30" s="147"/>
      <c r="T30" s="147"/>
      <c r="U30" s="147"/>
      <c r="V30" s="147"/>
      <c r="W30" s="115"/>
      <c r="X30" s="115"/>
      <c r="Y30" s="115"/>
      <c r="Z30" s="144"/>
      <c r="AA30" s="114"/>
      <c r="AB30" s="144"/>
      <c r="AC30" s="114"/>
      <c r="AD30" s="144"/>
      <c r="AE30" s="144"/>
      <c r="AF30" s="114"/>
      <c r="AG30" s="60"/>
    </row>
    <row r="31" spans="1:33" s="88" customFormat="1" ht="15" x14ac:dyDescent="0.2">
      <c r="A31" s="59"/>
      <c r="B31" s="114"/>
      <c r="C31" s="114"/>
      <c r="D31" s="138"/>
      <c r="E31" s="138"/>
      <c r="F31" s="138"/>
      <c r="G31" s="138"/>
      <c r="H31" s="138"/>
      <c r="I31" s="138"/>
      <c r="J31" s="138" t="str">
        <f t="shared" si="0"/>
        <v/>
      </c>
      <c r="K31" s="141"/>
      <c r="L31" s="141"/>
      <c r="M31" s="144"/>
      <c r="N31" s="144"/>
      <c r="O31" s="144"/>
      <c r="P31" s="144"/>
      <c r="Q31" s="144"/>
      <c r="R31" s="144"/>
      <c r="S31" s="147"/>
      <c r="T31" s="147"/>
      <c r="U31" s="147"/>
      <c r="V31" s="147"/>
      <c r="W31" s="115"/>
      <c r="X31" s="115"/>
      <c r="Y31" s="115"/>
      <c r="Z31" s="144"/>
      <c r="AA31" s="114"/>
      <c r="AB31" s="144"/>
      <c r="AC31" s="114"/>
      <c r="AD31" s="144"/>
      <c r="AE31" s="144"/>
      <c r="AF31" s="114"/>
      <c r="AG31" s="60"/>
    </row>
    <row r="32" spans="1:33" s="89" customFormat="1" ht="15" x14ac:dyDescent="0.2">
      <c r="A32" s="59"/>
      <c r="B32" s="114"/>
      <c r="C32" s="114"/>
      <c r="D32" s="138"/>
      <c r="E32" s="138"/>
      <c r="F32" s="138"/>
      <c r="G32" s="138"/>
      <c r="H32" s="138"/>
      <c r="I32" s="138"/>
      <c r="J32" s="138" t="str">
        <f t="shared" si="0"/>
        <v/>
      </c>
      <c r="K32" s="141"/>
      <c r="L32" s="141"/>
      <c r="M32" s="144"/>
      <c r="N32" s="144"/>
      <c r="O32" s="144"/>
      <c r="P32" s="144"/>
      <c r="Q32" s="144"/>
      <c r="R32" s="144"/>
      <c r="S32" s="147"/>
      <c r="T32" s="147"/>
      <c r="U32" s="147"/>
      <c r="V32" s="147"/>
      <c r="W32" s="115"/>
      <c r="X32" s="115"/>
      <c r="Y32" s="115"/>
      <c r="Z32" s="144"/>
      <c r="AA32" s="114"/>
      <c r="AB32" s="144"/>
      <c r="AC32" s="114"/>
      <c r="AD32" s="144"/>
      <c r="AE32" s="144"/>
      <c r="AF32" s="114"/>
      <c r="AG32" s="60"/>
    </row>
    <row r="33" spans="1:33" s="90" customFormat="1" ht="15.75" x14ac:dyDescent="0.2">
      <c r="A33" s="59"/>
      <c r="B33" s="114"/>
      <c r="C33" s="114"/>
      <c r="D33" s="138"/>
      <c r="E33" s="138"/>
      <c r="F33" s="138"/>
      <c r="G33" s="138"/>
      <c r="H33" s="138"/>
      <c r="I33" s="138"/>
      <c r="J33" s="138" t="str">
        <f t="shared" si="0"/>
        <v/>
      </c>
      <c r="K33" s="141"/>
      <c r="L33" s="141"/>
      <c r="M33" s="144"/>
      <c r="N33" s="144"/>
      <c r="O33" s="144"/>
      <c r="P33" s="144"/>
      <c r="Q33" s="144"/>
      <c r="R33" s="144"/>
      <c r="S33" s="147"/>
      <c r="T33" s="147"/>
      <c r="U33" s="147"/>
      <c r="V33" s="147"/>
      <c r="W33" s="115"/>
      <c r="X33" s="115"/>
      <c r="Y33" s="115"/>
      <c r="Z33" s="144"/>
      <c r="AA33" s="114"/>
      <c r="AB33" s="144"/>
      <c r="AC33" s="114"/>
      <c r="AD33" s="144"/>
      <c r="AE33" s="144"/>
      <c r="AF33" s="114"/>
      <c r="AG33" s="60"/>
    </row>
    <row r="34" spans="1:33" s="88" customFormat="1" ht="15" x14ac:dyDescent="0.2">
      <c r="A34" s="59"/>
      <c r="B34" s="114"/>
      <c r="C34" s="114"/>
      <c r="D34" s="138"/>
      <c r="E34" s="138"/>
      <c r="F34" s="138"/>
      <c r="G34" s="138"/>
      <c r="H34" s="138"/>
      <c r="I34" s="138"/>
      <c r="J34" s="138" t="str">
        <f t="shared" si="0"/>
        <v/>
      </c>
      <c r="K34" s="141"/>
      <c r="L34" s="141"/>
      <c r="M34" s="144"/>
      <c r="N34" s="144"/>
      <c r="O34" s="144"/>
      <c r="P34" s="144"/>
      <c r="Q34" s="144"/>
      <c r="R34" s="144"/>
      <c r="S34" s="147"/>
      <c r="T34" s="147"/>
      <c r="U34" s="147"/>
      <c r="V34" s="147"/>
      <c r="W34" s="115"/>
      <c r="X34" s="115"/>
      <c r="Y34" s="115"/>
      <c r="Z34" s="144"/>
      <c r="AA34" s="114"/>
      <c r="AB34" s="144"/>
      <c r="AC34" s="114"/>
      <c r="AD34" s="144"/>
      <c r="AE34" s="144"/>
      <c r="AF34" s="114"/>
      <c r="AG34" s="60"/>
    </row>
    <row r="35" spans="1:33" s="88" customFormat="1" ht="15" x14ac:dyDescent="0.2">
      <c r="A35" s="59"/>
      <c r="B35" s="114"/>
      <c r="C35" s="114"/>
      <c r="D35" s="138"/>
      <c r="E35" s="138"/>
      <c r="F35" s="138"/>
      <c r="G35" s="138"/>
      <c r="H35" s="138"/>
      <c r="I35" s="138"/>
      <c r="J35" s="138" t="str">
        <f t="shared" si="0"/>
        <v/>
      </c>
      <c r="K35" s="141"/>
      <c r="L35" s="141"/>
      <c r="M35" s="144"/>
      <c r="N35" s="144"/>
      <c r="O35" s="144"/>
      <c r="P35" s="144"/>
      <c r="Q35" s="144"/>
      <c r="R35" s="144"/>
      <c r="S35" s="147"/>
      <c r="T35" s="147"/>
      <c r="U35" s="147"/>
      <c r="V35" s="147"/>
      <c r="W35" s="115"/>
      <c r="X35" s="115"/>
      <c r="Y35" s="115"/>
      <c r="Z35" s="144"/>
      <c r="AA35" s="114"/>
      <c r="AB35" s="144"/>
      <c r="AC35" s="114"/>
      <c r="AD35" s="144"/>
      <c r="AE35" s="144"/>
      <c r="AF35" s="114"/>
      <c r="AG35" s="60"/>
    </row>
    <row r="36" spans="1:33" s="88" customFormat="1" ht="15" x14ac:dyDescent="0.2">
      <c r="A36" s="59"/>
      <c r="B36" s="114"/>
      <c r="C36" s="114"/>
      <c r="D36" s="138"/>
      <c r="E36" s="138"/>
      <c r="F36" s="138"/>
      <c r="G36" s="138"/>
      <c r="H36" s="138"/>
      <c r="I36" s="138"/>
      <c r="J36" s="138" t="str">
        <f t="shared" si="0"/>
        <v/>
      </c>
      <c r="K36" s="141"/>
      <c r="L36" s="141"/>
      <c r="M36" s="144"/>
      <c r="N36" s="144"/>
      <c r="O36" s="144"/>
      <c r="P36" s="144"/>
      <c r="Q36" s="144"/>
      <c r="R36" s="144"/>
      <c r="S36" s="147"/>
      <c r="T36" s="147"/>
      <c r="U36" s="147"/>
      <c r="V36" s="147"/>
      <c r="W36" s="115"/>
      <c r="X36" s="115"/>
      <c r="Y36" s="115"/>
      <c r="Z36" s="144"/>
      <c r="AA36" s="114"/>
      <c r="AB36" s="144"/>
      <c r="AC36" s="114"/>
      <c r="AD36" s="144"/>
      <c r="AE36" s="144"/>
      <c r="AF36" s="114"/>
      <c r="AG36" s="60"/>
    </row>
    <row r="37" spans="1:33" s="88" customFormat="1" ht="15" x14ac:dyDescent="0.2">
      <c r="A37" s="59"/>
      <c r="B37" s="114"/>
      <c r="C37" s="114"/>
      <c r="D37" s="138"/>
      <c r="E37" s="138"/>
      <c r="F37" s="138"/>
      <c r="G37" s="138"/>
      <c r="H37" s="138"/>
      <c r="I37" s="138"/>
      <c r="J37" s="138" t="str">
        <f t="shared" si="0"/>
        <v/>
      </c>
      <c r="K37" s="141"/>
      <c r="L37" s="141"/>
      <c r="M37" s="144"/>
      <c r="N37" s="144"/>
      <c r="O37" s="144"/>
      <c r="P37" s="144"/>
      <c r="Q37" s="144"/>
      <c r="R37" s="144"/>
      <c r="S37" s="147"/>
      <c r="T37" s="147"/>
      <c r="U37" s="147"/>
      <c r="V37" s="147"/>
      <c r="W37" s="115"/>
      <c r="X37" s="115"/>
      <c r="Y37" s="115"/>
      <c r="Z37" s="144"/>
      <c r="AA37" s="114"/>
      <c r="AB37" s="144"/>
      <c r="AC37" s="114"/>
      <c r="AD37" s="144"/>
      <c r="AE37" s="144"/>
      <c r="AF37" s="114"/>
      <c r="AG37" s="60"/>
    </row>
    <row r="38" spans="1:33" s="88" customFormat="1" ht="15" x14ac:dyDescent="0.2">
      <c r="A38" s="59"/>
      <c r="B38" s="114"/>
      <c r="C38" s="114"/>
      <c r="D38" s="138"/>
      <c r="E38" s="138"/>
      <c r="F38" s="138"/>
      <c r="G38" s="138"/>
      <c r="H38" s="138"/>
      <c r="I38" s="138"/>
      <c r="J38" s="138" t="str">
        <f t="shared" si="0"/>
        <v/>
      </c>
      <c r="K38" s="141"/>
      <c r="L38" s="141"/>
      <c r="M38" s="144"/>
      <c r="N38" s="144"/>
      <c r="O38" s="144"/>
      <c r="P38" s="144"/>
      <c r="Q38" s="144"/>
      <c r="R38" s="144"/>
      <c r="S38" s="147"/>
      <c r="T38" s="147"/>
      <c r="U38" s="147"/>
      <c r="V38" s="147"/>
      <c r="W38" s="115"/>
      <c r="X38" s="115"/>
      <c r="Y38" s="115"/>
      <c r="Z38" s="144"/>
      <c r="AA38" s="114"/>
      <c r="AB38" s="144"/>
      <c r="AC38" s="114"/>
      <c r="AD38" s="144"/>
      <c r="AE38" s="144"/>
      <c r="AF38" s="114"/>
      <c r="AG38" s="60"/>
    </row>
    <row r="39" spans="1:33" s="88" customFormat="1" ht="15" x14ac:dyDescent="0.2">
      <c r="A39" s="59"/>
      <c r="B39" s="114"/>
      <c r="C39" s="114"/>
      <c r="D39" s="138"/>
      <c r="E39" s="138"/>
      <c r="F39" s="138"/>
      <c r="G39" s="138"/>
      <c r="H39" s="138"/>
      <c r="I39" s="138"/>
      <c r="J39" s="138" t="str">
        <f t="shared" si="0"/>
        <v/>
      </c>
      <c r="K39" s="141"/>
      <c r="L39" s="141"/>
      <c r="M39" s="144"/>
      <c r="N39" s="144"/>
      <c r="O39" s="144"/>
      <c r="P39" s="144"/>
      <c r="Q39" s="144"/>
      <c r="R39" s="144"/>
      <c r="S39" s="147"/>
      <c r="T39" s="147"/>
      <c r="U39" s="147"/>
      <c r="V39" s="147"/>
      <c r="W39" s="115"/>
      <c r="X39" s="115"/>
      <c r="Y39" s="115"/>
      <c r="Z39" s="144"/>
      <c r="AA39" s="114"/>
      <c r="AB39" s="144"/>
      <c r="AC39" s="114"/>
      <c r="AD39" s="144"/>
      <c r="AE39" s="144"/>
      <c r="AF39" s="114"/>
      <c r="AG39" s="60"/>
    </row>
    <row r="40" spans="1:33" s="88" customFormat="1" ht="15" x14ac:dyDescent="0.2">
      <c r="A40" s="59"/>
      <c r="B40" s="114"/>
      <c r="C40" s="114"/>
      <c r="D40" s="138"/>
      <c r="E40" s="138"/>
      <c r="F40" s="138"/>
      <c r="G40" s="138"/>
      <c r="H40" s="138"/>
      <c r="I40" s="138"/>
      <c r="J40" s="138" t="str">
        <f t="shared" si="0"/>
        <v/>
      </c>
      <c r="K40" s="141"/>
      <c r="L40" s="141"/>
      <c r="M40" s="144"/>
      <c r="N40" s="144"/>
      <c r="O40" s="144"/>
      <c r="P40" s="144"/>
      <c r="Q40" s="144"/>
      <c r="R40" s="144"/>
      <c r="S40" s="147"/>
      <c r="T40" s="147"/>
      <c r="U40" s="147"/>
      <c r="V40" s="147"/>
      <c r="W40" s="115"/>
      <c r="X40" s="115"/>
      <c r="Y40" s="115"/>
      <c r="Z40" s="144"/>
      <c r="AA40" s="114"/>
      <c r="AB40" s="144"/>
      <c r="AC40" s="114"/>
      <c r="AD40" s="144"/>
      <c r="AE40" s="144"/>
      <c r="AF40" s="114"/>
      <c r="AG40" s="60"/>
    </row>
    <row r="41" spans="1:33" s="88" customFormat="1" ht="15" x14ac:dyDescent="0.2">
      <c r="A41" s="59"/>
      <c r="B41" s="114"/>
      <c r="C41" s="114"/>
      <c r="D41" s="138"/>
      <c r="E41" s="138"/>
      <c r="F41" s="138"/>
      <c r="G41" s="138"/>
      <c r="H41" s="138"/>
      <c r="I41" s="138"/>
      <c r="J41" s="138" t="str">
        <f t="shared" si="0"/>
        <v/>
      </c>
      <c r="K41" s="141"/>
      <c r="L41" s="141"/>
      <c r="M41" s="144"/>
      <c r="N41" s="144"/>
      <c r="O41" s="144"/>
      <c r="P41" s="144"/>
      <c r="Q41" s="144"/>
      <c r="R41" s="144"/>
      <c r="S41" s="147"/>
      <c r="T41" s="147"/>
      <c r="U41" s="147"/>
      <c r="V41" s="147"/>
      <c r="W41" s="115"/>
      <c r="X41" s="115"/>
      <c r="Y41" s="115"/>
      <c r="Z41" s="144"/>
      <c r="AA41" s="114"/>
      <c r="AB41" s="144"/>
      <c r="AC41" s="114"/>
      <c r="AD41" s="144"/>
      <c r="AE41" s="144"/>
      <c r="AF41" s="114"/>
      <c r="AG41" s="60"/>
    </row>
    <row r="42" spans="1:33" s="88" customFormat="1" ht="15" x14ac:dyDescent="0.2">
      <c r="A42" s="59"/>
      <c r="B42" s="114"/>
      <c r="C42" s="114"/>
      <c r="D42" s="138"/>
      <c r="E42" s="138"/>
      <c r="F42" s="138"/>
      <c r="G42" s="138"/>
      <c r="H42" s="138"/>
      <c r="I42" s="138"/>
      <c r="J42" s="138" t="str">
        <f t="shared" si="0"/>
        <v/>
      </c>
      <c r="K42" s="141"/>
      <c r="L42" s="141"/>
      <c r="M42" s="144"/>
      <c r="N42" s="144"/>
      <c r="O42" s="144"/>
      <c r="P42" s="144"/>
      <c r="Q42" s="144"/>
      <c r="R42" s="144"/>
      <c r="S42" s="147"/>
      <c r="T42" s="147"/>
      <c r="U42" s="147"/>
      <c r="V42" s="147"/>
      <c r="W42" s="115"/>
      <c r="X42" s="115"/>
      <c r="Y42" s="115"/>
      <c r="Z42" s="144"/>
      <c r="AA42" s="114"/>
      <c r="AB42" s="144"/>
      <c r="AC42" s="114"/>
      <c r="AD42" s="144"/>
      <c r="AE42" s="144"/>
      <c r="AF42" s="114"/>
      <c r="AG42" s="60"/>
    </row>
    <row r="43" spans="1:33" s="88" customFormat="1" ht="15" x14ac:dyDescent="0.2">
      <c r="A43" s="59"/>
      <c r="B43" s="114"/>
      <c r="C43" s="114"/>
      <c r="D43" s="138"/>
      <c r="E43" s="138"/>
      <c r="F43" s="138"/>
      <c r="G43" s="138"/>
      <c r="H43" s="138"/>
      <c r="I43" s="138"/>
      <c r="J43" s="138" t="str">
        <f t="shared" si="0"/>
        <v/>
      </c>
      <c r="K43" s="141"/>
      <c r="L43" s="141"/>
      <c r="M43" s="144"/>
      <c r="N43" s="144"/>
      <c r="O43" s="144"/>
      <c r="P43" s="144"/>
      <c r="Q43" s="144"/>
      <c r="R43" s="144"/>
      <c r="S43" s="147"/>
      <c r="T43" s="147"/>
      <c r="U43" s="147"/>
      <c r="V43" s="147"/>
      <c r="W43" s="115"/>
      <c r="X43" s="115"/>
      <c r="Y43" s="115"/>
      <c r="Z43" s="144"/>
      <c r="AA43" s="114"/>
      <c r="AB43" s="144"/>
      <c r="AC43" s="114"/>
      <c r="AD43" s="144"/>
      <c r="AE43" s="144"/>
      <c r="AF43" s="114"/>
      <c r="AG43" s="60"/>
    </row>
    <row r="44" spans="1:33" s="88" customFormat="1" ht="15" x14ac:dyDescent="0.2">
      <c r="A44" s="59"/>
      <c r="B44" s="114"/>
      <c r="C44" s="114"/>
      <c r="D44" s="138"/>
      <c r="E44" s="138"/>
      <c r="F44" s="138"/>
      <c r="G44" s="138"/>
      <c r="H44" s="138"/>
      <c r="I44" s="138"/>
      <c r="J44" s="138" t="str">
        <f t="shared" si="0"/>
        <v/>
      </c>
      <c r="K44" s="141"/>
      <c r="L44" s="141"/>
      <c r="M44" s="144"/>
      <c r="N44" s="144"/>
      <c r="O44" s="144"/>
      <c r="P44" s="144"/>
      <c r="Q44" s="144"/>
      <c r="R44" s="144"/>
      <c r="S44" s="147"/>
      <c r="T44" s="147"/>
      <c r="U44" s="147"/>
      <c r="V44" s="147"/>
      <c r="W44" s="115"/>
      <c r="X44" s="115"/>
      <c r="Y44" s="115"/>
      <c r="Z44" s="144"/>
      <c r="AA44" s="114"/>
      <c r="AB44" s="144"/>
      <c r="AC44" s="114"/>
      <c r="AD44" s="144"/>
      <c r="AE44" s="144"/>
      <c r="AF44" s="114"/>
      <c r="AG44" s="60"/>
    </row>
    <row r="45" spans="1:33" s="88" customFormat="1" ht="15" x14ac:dyDescent="0.2">
      <c r="A45" s="59"/>
      <c r="B45" s="114"/>
      <c r="C45" s="114"/>
      <c r="D45" s="138"/>
      <c r="E45" s="138"/>
      <c r="F45" s="138"/>
      <c r="G45" s="138"/>
      <c r="H45" s="138"/>
      <c r="I45" s="138"/>
      <c r="J45" s="138" t="str">
        <f t="shared" si="0"/>
        <v/>
      </c>
      <c r="K45" s="141"/>
      <c r="L45" s="141"/>
      <c r="M45" s="144"/>
      <c r="N45" s="144"/>
      <c r="O45" s="144"/>
      <c r="P45" s="144"/>
      <c r="Q45" s="144"/>
      <c r="R45" s="144"/>
      <c r="S45" s="147"/>
      <c r="T45" s="147"/>
      <c r="U45" s="147"/>
      <c r="V45" s="147"/>
      <c r="W45" s="115"/>
      <c r="X45" s="115"/>
      <c r="Y45" s="115"/>
      <c r="Z45" s="144"/>
      <c r="AA45" s="114"/>
      <c r="AB45" s="144"/>
      <c r="AC45" s="114"/>
      <c r="AD45" s="144"/>
      <c r="AE45" s="144"/>
      <c r="AF45" s="114"/>
      <c r="AG45" s="60"/>
    </row>
    <row r="46" spans="1:33" s="88" customFormat="1" ht="15" x14ac:dyDescent="0.2">
      <c r="A46" s="59"/>
      <c r="B46" s="114"/>
      <c r="C46" s="114"/>
      <c r="D46" s="138"/>
      <c r="E46" s="138"/>
      <c r="F46" s="138"/>
      <c r="G46" s="138"/>
      <c r="H46" s="138"/>
      <c r="I46" s="138"/>
      <c r="J46" s="138" t="str">
        <f t="shared" si="0"/>
        <v/>
      </c>
      <c r="K46" s="141"/>
      <c r="L46" s="141"/>
      <c r="M46" s="144"/>
      <c r="N46" s="144"/>
      <c r="O46" s="144"/>
      <c r="P46" s="144"/>
      <c r="Q46" s="144"/>
      <c r="R46" s="144"/>
      <c r="S46" s="147"/>
      <c r="T46" s="147"/>
      <c r="U46" s="147"/>
      <c r="V46" s="147"/>
      <c r="W46" s="115"/>
      <c r="X46" s="115"/>
      <c r="Y46" s="115"/>
      <c r="Z46" s="144"/>
      <c r="AA46" s="114"/>
      <c r="AB46" s="144"/>
      <c r="AC46" s="114"/>
      <c r="AD46" s="144"/>
      <c r="AE46" s="144"/>
      <c r="AF46" s="114"/>
      <c r="AG46" s="60"/>
    </row>
    <row r="47" spans="1:33" s="88" customFormat="1" ht="15" x14ac:dyDescent="0.2">
      <c r="A47" s="59"/>
      <c r="B47" s="114"/>
      <c r="C47" s="114"/>
      <c r="D47" s="138"/>
      <c r="E47" s="138"/>
      <c r="F47" s="138"/>
      <c r="G47" s="138"/>
      <c r="H47" s="138"/>
      <c r="I47" s="138"/>
      <c r="J47" s="138" t="str">
        <f t="shared" si="0"/>
        <v/>
      </c>
      <c r="K47" s="141"/>
      <c r="L47" s="141"/>
      <c r="M47" s="144"/>
      <c r="N47" s="144"/>
      <c r="O47" s="144"/>
      <c r="P47" s="144"/>
      <c r="Q47" s="144"/>
      <c r="R47" s="144"/>
      <c r="S47" s="147"/>
      <c r="T47" s="147"/>
      <c r="U47" s="147"/>
      <c r="V47" s="147"/>
      <c r="W47" s="115"/>
      <c r="X47" s="115"/>
      <c r="Y47" s="115"/>
      <c r="Z47" s="144"/>
      <c r="AA47" s="114"/>
      <c r="AB47" s="144"/>
      <c r="AC47" s="114"/>
      <c r="AD47" s="144"/>
      <c r="AE47" s="144"/>
      <c r="AF47" s="114"/>
      <c r="AG47" s="60"/>
    </row>
    <row r="48" spans="1:33" s="88" customFormat="1" ht="15" x14ac:dyDescent="0.2">
      <c r="A48" s="59"/>
      <c r="B48" s="114"/>
      <c r="C48" s="114"/>
      <c r="D48" s="138"/>
      <c r="E48" s="138"/>
      <c r="F48" s="138"/>
      <c r="G48" s="138"/>
      <c r="H48" s="138"/>
      <c r="I48" s="138"/>
      <c r="J48" s="138" t="str">
        <f t="shared" si="0"/>
        <v/>
      </c>
      <c r="K48" s="141"/>
      <c r="L48" s="141"/>
      <c r="M48" s="144"/>
      <c r="N48" s="144"/>
      <c r="O48" s="144"/>
      <c r="P48" s="144"/>
      <c r="Q48" s="144"/>
      <c r="R48" s="144"/>
      <c r="S48" s="147"/>
      <c r="T48" s="147"/>
      <c r="U48" s="147"/>
      <c r="V48" s="147"/>
      <c r="W48" s="115"/>
      <c r="X48" s="115"/>
      <c r="Y48" s="115"/>
      <c r="Z48" s="144"/>
      <c r="AA48" s="114"/>
      <c r="AB48" s="144"/>
      <c r="AC48" s="114"/>
      <c r="AD48" s="144"/>
      <c r="AE48" s="144"/>
      <c r="AF48" s="114"/>
      <c r="AG48" s="60"/>
    </row>
    <row r="49" spans="1:33" s="88" customFormat="1" ht="15" x14ac:dyDescent="0.2">
      <c r="A49" s="59"/>
      <c r="B49" s="114"/>
      <c r="C49" s="114"/>
      <c r="D49" s="138"/>
      <c r="E49" s="138"/>
      <c r="F49" s="138"/>
      <c r="G49" s="138"/>
      <c r="H49" s="138"/>
      <c r="I49" s="138"/>
      <c r="J49" s="138" t="str">
        <f t="shared" si="0"/>
        <v/>
      </c>
      <c r="K49" s="141"/>
      <c r="L49" s="141"/>
      <c r="M49" s="144"/>
      <c r="N49" s="144"/>
      <c r="O49" s="144"/>
      <c r="P49" s="144"/>
      <c r="Q49" s="144"/>
      <c r="R49" s="144"/>
      <c r="S49" s="147"/>
      <c r="T49" s="147"/>
      <c r="U49" s="147"/>
      <c r="V49" s="147"/>
      <c r="W49" s="115"/>
      <c r="X49" s="115"/>
      <c r="Y49" s="115"/>
      <c r="Z49" s="144"/>
      <c r="AA49" s="114"/>
      <c r="AB49" s="144"/>
      <c r="AC49" s="114"/>
      <c r="AD49" s="144"/>
      <c r="AE49" s="144"/>
      <c r="AF49" s="114"/>
      <c r="AG49" s="60"/>
    </row>
    <row r="50" spans="1:33" s="88" customFormat="1" ht="15" x14ac:dyDescent="0.2">
      <c r="A50" s="59"/>
      <c r="B50" s="114"/>
      <c r="C50" s="114"/>
      <c r="D50" s="138"/>
      <c r="E50" s="138"/>
      <c r="F50" s="138"/>
      <c r="G50" s="138"/>
      <c r="H50" s="138"/>
      <c r="I50" s="138"/>
      <c r="J50" s="138" t="str">
        <f t="shared" si="0"/>
        <v/>
      </c>
      <c r="K50" s="141"/>
      <c r="L50" s="141"/>
      <c r="M50" s="144"/>
      <c r="N50" s="144"/>
      <c r="O50" s="144"/>
      <c r="P50" s="144"/>
      <c r="Q50" s="144"/>
      <c r="R50" s="144"/>
      <c r="S50" s="147"/>
      <c r="T50" s="147"/>
      <c r="U50" s="147"/>
      <c r="V50" s="147"/>
      <c r="W50" s="115"/>
      <c r="X50" s="115"/>
      <c r="Y50" s="115"/>
      <c r="Z50" s="144"/>
      <c r="AA50" s="114"/>
      <c r="AB50" s="144"/>
      <c r="AC50" s="114"/>
      <c r="AD50" s="144"/>
      <c r="AE50" s="144"/>
      <c r="AF50" s="114"/>
      <c r="AG50" s="60"/>
    </row>
    <row r="51" spans="1:33" s="88" customFormat="1" ht="15" x14ac:dyDescent="0.2">
      <c r="A51" s="59"/>
      <c r="B51" s="114"/>
      <c r="C51" s="114"/>
      <c r="D51" s="138"/>
      <c r="E51" s="138"/>
      <c r="F51" s="138"/>
      <c r="G51" s="138"/>
      <c r="H51" s="138"/>
      <c r="I51" s="138"/>
      <c r="J51" s="138" t="str">
        <f t="shared" si="0"/>
        <v/>
      </c>
      <c r="K51" s="141"/>
      <c r="L51" s="141"/>
      <c r="M51" s="144"/>
      <c r="N51" s="144"/>
      <c r="O51" s="144"/>
      <c r="P51" s="144"/>
      <c r="Q51" s="144"/>
      <c r="R51" s="144"/>
      <c r="S51" s="147"/>
      <c r="T51" s="147"/>
      <c r="U51" s="147"/>
      <c r="V51" s="147"/>
      <c r="W51" s="115"/>
      <c r="X51" s="115"/>
      <c r="Y51" s="115"/>
      <c r="Z51" s="144"/>
      <c r="AA51" s="114"/>
      <c r="AB51" s="144"/>
      <c r="AC51" s="114"/>
      <c r="AD51" s="144"/>
      <c r="AE51" s="144"/>
      <c r="AF51" s="114"/>
      <c r="AG51" s="60"/>
    </row>
    <row r="52" spans="1:33" s="88" customFormat="1" ht="15" x14ac:dyDescent="0.2">
      <c r="A52" s="59"/>
      <c r="B52" s="114"/>
      <c r="C52" s="114"/>
      <c r="D52" s="138"/>
      <c r="E52" s="138"/>
      <c r="F52" s="138"/>
      <c r="G52" s="138"/>
      <c r="H52" s="138"/>
      <c r="I52" s="138"/>
      <c r="J52" s="138" t="str">
        <f t="shared" si="0"/>
        <v/>
      </c>
      <c r="K52" s="141"/>
      <c r="L52" s="141"/>
      <c r="M52" s="144"/>
      <c r="N52" s="144"/>
      <c r="O52" s="144"/>
      <c r="P52" s="144"/>
      <c r="Q52" s="144"/>
      <c r="R52" s="144"/>
      <c r="S52" s="147"/>
      <c r="T52" s="147"/>
      <c r="U52" s="147"/>
      <c r="V52" s="147"/>
      <c r="W52" s="115"/>
      <c r="X52" s="115"/>
      <c r="Y52" s="115"/>
      <c r="Z52" s="144"/>
      <c r="AA52" s="114"/>
      <c r="AB52" s="144"/>
      <c r="AC52" s="114"/>
      <c r="AD52" s="144"/>
      <c r="AE52" s="144"/>
      <c r="AF52" s="114"/>
      <c r="AG52" s="60"/>
    </row>
    <row r="53" spans="1:33" s="88" customFormat="1" ht="15" x14ac:dyDescent="0.2">
      <c r="A53" s="59"/>
      <c r="B53" s="114"/>
      <c r="C53" s="114"/>
      <c r="D53" s="138"/>
      <c r="E53" s="138"/>
      <c r="F53" s="138"/>
      <c r="G53" s="138"/>
      <c r="H53" s="138"/>
      <c r="I53" s="138"/>
      <c r="J53" s="138" t="str">
        <f t="shared" si="0"/>
        <v/>
      </c>
      <c r="K53" s="141"/>
      <c r="L53" s="141"/>
      <c r="M53" s="144"/>
      <c r="N53" s="144"/>
      <c r="O53" s="144"/>
      <c r="P53" s="144"/>
      <c r="Q53" s="144"/>
      <c r="R53" s="144"/>
      <c r="S53" s="147"/>
      <c r="T53" s="147"/>
      <c r="U53" s="147"/>
      <c r="V53" s="147"/>
      <c r="W53" s="115"/>
      <c r="X53" s="115"/>
      <c r="Y53" s="115"/>
      <c r="Z53" s="144"/>
      <c r="AA53" s="114"/>
      <c r="AB53" s="144"/>
      <c r="AC53" s="114"/>
      <c r="AD53" s="144"/>
      <c r="AE53" s="144"/>
      <c r="AF53" s="114"/>
      <c r="AG53" s="60"/>
    </row>
    <row r="54" spans="1:33" s="88" customFormat="1" ht="15" x14ac:dyDescent="0.2">
      <c r="A54" s="59"/>
      <c r="B54" s="114"/>
      <c r="C54" s="114"/>
      <c r="D54" s="138"/>
      <c r="E54" s="138"/>
      <c r="F54" s="138"/>
      <c r="G54" s="138"/>
      <c r="H54" s="138"/>
      <c r="I54" s="138"/>
      <c r="J54" s="138" t="str">
        <f t="shared" si="0"/>
        <v/>
      </c>
      <c r="K54" s="141"/>
      <c r="L54" s="141"/>
      <c r="M54" s="144"/>
      <c r="N54" s="144"/>
      <c r="O54" s="144"/>
      <c r="P54" s="144"/>
      <c r="Q54" s="144"/>
      <c r="R54" s="144"/>
      <c r="S54" s="147"/>
      <c r="T54" s="147"/>
      <c r="U54" s="147"/>
      <c r="V54" s="147"/>
      <c r="W54" s="115"/>
      <c r="X54" s="115"/>
      <c r="Y54" s="115"/>
      <c r="Z54" s="144"/>
      <c r="AA54" s="114"/>
      <c r="AB54" s="144"/>
      <c r="AC54" s="114"/>
      <c r="AD54" s="144"/>
      <c r="AE54" s="144"/>
      <c r="AF54" s="114"/>
      <c r="AG54" s="60"/>
    </row>
    <row r="55" spans="1:33" s="88" customFormat="1" ht="15" x14ac:dyDescent="0.2">
      <c r="A55" s="59"/>
      <c r="B55" s="114"/>
      <c r="C55" s="114"/>
      <c r="D55" s="138"/>
      <c r="E55" s="138"/>
      <c r="F55" s="138"/>
      <c r="G55" s="138"/>
      <c r="H55" s="138"/>
      <c r="I55" s="138"/>
      <c r="J55" s="138" t="str">
        <f t="shared" si="0"/>
        <v/>
      </c>
      <c r="K55" s="141"/>
      <c r="L55" s="141"/>
      <c r="M55" s="144"/>
      <c r="N55" s="144"/>
      <c r="O55" s="144"/>
      <c r="P55" s="144"/>
      <c r="Q55" s="144"/>
      <c r="R55" s="144"/>
      <c r="S55" s="147"/>
      <c r="T55" s="147"/>
      <c r="U55" s="147"/>
      <c r="V55" s="147"/>
      <c r="W55" s="115"/>
      <c r="X55" s="115"/>
      <c r="Y55" s="115"/>
      <c r="Z55" s="144"/>
      <c r="AA55" s="114"/>
      <c r="AB55" s="144"/>
      <c r="AC55" s="114"/>
      <c r="AD55" s="144"/>
      <c r="AE55" s="144"/>
      <c r="AF55" s="114"/>
      <c r="AG55" s="60"/>
    </row>
    <row r="56" spans="1:33" s="88" customFormat="1" ht="15" x14ac:dyDescent="0.2">
      <c r="A56" s="59"/>
      <c r="B56" s="114"/>
      <c r="C56" s="114"/>
      <c r="D56" s="138"/>
      <c r="E56" s="138"/>
      <c r="F56" s="138"/>
      <c r="G56" s="138"/>
      <c r="H56" s="138"/>
      <c r="I56" s="138"/>
      <c r="J56" s="138" t="str">
        <f t="shared" si="0"/>
        <v/>
      </c>
      <c r="K56" s="141"/>
      <c r="L56" s="141"/>
      <c r="M56" s="144"/>
      <c r="N56" s="144"/>
      <c r="O56" s="144"/>
      <c r="P56" s="144"/>
      <c r="Q56" s="144"/>
      <c r="R56" s="144"/>
      <c r="S56" s="147"/>
      <c r="T56" s="147"/>
      <c r="U56" s="147"/>
      <c r="V56" s="147"/>
      <c r="W56" s="115"/>
      <c r="X56" s="115"/>
      <c r="Y56" s="115"/>
      <c r="Z56" s="144"/>
      <c r="AA56" s="114"/>
      <c r="AB56" s="144"/>
      <c r="AC56" s="114"/>
      <c r="AD56" s="144"/>
      <c r="AE56" s="144"/>
      <c r="AF56" s="114"/>
      <c r="AG56" s="60"/>
    </row>
    <row r="57" spans="1:33" s="88" customFormat="1" ht="15" x14ac:dyDescent="0.2">
      <c r="A57" s="59"/>
      <c r="B57" s="114"/>
      <c r="C57" s="114"/>
      <c r="D57" s="138"/>
      <c r="E57" s="138"/>
      <c r="F57" s="138"/>
      <c r="G57" s="138"/>
      <c r="H57" s="138"/>
      <c r="I57" s="138"/>
      <c r="J57" s="138" t="str">
        <f t="shared" si="0"/>
        <v/>
      </c>
      <c r="K57" s="141"/>
      <c r="L57" s="141"/>
      <c r="M57" s="144"/>
      <c r="N57" s="144"/>
      <c r="O57" s="144"/>
      <c r="P57" s="144"/>
      <c r="Q57" s="144"/>
      <c r="R57" s="144"/>
      <c r="S57" s="147"/>
      <c r="T57" s="147"/>
      <c r="U57" s="147"/>
      <c r="V57" s="147"/>
      <c r="W57" s="115"/>
      <c r="X57" s="115"/>
      <c r="Y57" s="115"/>
      <c r="Z57" s="144"/>
      <c r="AA57" s="114"/>
      <c r="AB57" s="144"/>
      <c r="AC57" s="114"/>
      <c r="AD57" s="144"/>
      <c r="AE57" s="144"/>
      <c r="AF57" s="114"/>
      <c r="AG57" s="60"/>
    </row>
    <row r="58" spans="1:33" s="88" customFormat="1" ht="15" x14ac:dyDescent="0.2">
      <c r="A58" s="59"/>
      <c r="B58" s="114"/>
      <c r="C58" s="114"/>
      <c r="D58" s="138"/>
      <c r="E58" s="138"/>
      <c r="F58" s="138"/>
      <c r="G58" s="138"/>
      <c r="H58" s="138"/>
      <c r="I58" s="138"/>
      <c r="J58" s="138" t="str">
        <f t="shared" si="0"/>
        <v/>
      </c>
      <c r="K58" s="141"/>
      <c r="L58" s="141"/>
      <c r="M58" s="144"/>
      <c r="N58" s="144"/>
      <c r="O58" s="144"/>
      <c r="P58" s="144"/>
      <c r="Q58" s="144"/>
      <c r="R58" s="144"/>
      <c r="S58" s="147"/>
      <c r="T58" s="147"/>
      <c r="U58" s="147"/>
      <c r="V58" s="147"/>
      <c r="W58" s="115"/>
      <c r="X58" s="115"/>
      <c r="Y58" s="115"/>
      <c r="Z58" s="144"/>
      <c r="AA58" s="114"/>
      <c r="AB58" s="144"/>
      <c r="AC58" s="114"/>
      <c r="AD58" s="144"/>
      <c r="AE58" s="144"/>
      <c r="AF58" s="114"/>
      <c r="AG58" s="60"/>
    </row>
    <row r="59" spans="1:33" s="88" customFormat="1" ht="15" x14ac:dyDescent="0.2">
      <c r="A59" s="59"/>
      <c r="B59" s="114"/>
      <c r="C59" s="114"/>
      <c r="D59" s="138"/>
      <c r="E59" s="138"/>
      <c r="F59" s="138"/>
      <c r="G59" s="138"/>
      <c r="H59" s="138"/>
      <c r="I59" s="138"/>
      <c r="J59" s="138" t="str">
        <f t="shared" si="0"/>
        <v/>
      </c>
      <c r="K59" s="141"/>
      <c r="L59" s="141"/>
      <c r="M59" s="144"/>
      <c r="N59" s="144"/>
      <c r="O59" s="144"/>
      <c r="P59" s="144"/>
      <c r="Q59" s="144"/>
      <c r="R59" s="144"/>
      <c r="S59" s="147"/>
      <c r="T59" s="147"/>
      <c r="U59" s="147"/>
      <c r="V59" s="147"/>
      <c r="W59" s="115"/>
      <c r="X59" s="115"/>
      <c r="Y59" s="115"/>
      <c r="Z59" s="144"/>
      <c r="AA59" s="114"/>
      <c r="AB59" s="144"/>
      <c r="AC59" s="114"/>
      <c r="AD59" s="144"/>
      <c r="AE59" s="144"/>
      <c r="AF59" s="114"/>
      <c r="AG59" s="60"/>
    </row>
    <row r="60" spans="1:33" s="88" customFormat="1" ht="15" x14ac:dyDescent="0.2">
      <c r="A60" s="59"/>
      <c r="B60" s="114"/>
      <c r="C60" s="114"/>
      <c r="D60" s="138"/>
      <c r="E60" s="138"/>
      <c r="F60" s="138"/>
      <c r="G60" s="138"/>
      <c r="H60" s="138"/>
      <c r="I60" s="138"/>
      <c r="J60" s="138" t="str">
        <f t="shared" si="0"/>
        <v/>
      </c>
      <c r="K60" s="141"/>
      <c r="L60" s="141"/>
      <c r="M60" s="144"/>
      <c r="N60" s="144"/>
      <c r="O60" s="144"/>
      <c r="P60" s="144"/>
      <c r="Q60" s="144"/>
      <c r="R60" s="144"/>
      <c r="S60" s="147"/>
      <c r="T60" s="147"/>
      <c r="U60" s="147"/>
      <c r="V60" s="147"/>
      <c r="W60" s="115"/>
      <c r="X60" s="115"/>
      <c r="Y60" s="115"/>
      <c r="Z60" s="144"/>
      <c r="AA60" s="114"/>
      <c r="AB60" s="144"/>
      <c r="AC60" s="114"/>
      <c r="AD60" s="144"/>
      <c r="AE60" s="144"/>
      <c r="AF60" s="114"/>
      <c r="AG60" s="60"/>
    </row>
    <row r="61" spans="1:33" s="88" customFormat="1" ht="15" x14ac:dyDescent="0.2">
      <c r="A61" s="59"/>
      <c r="B61" s="114"/>
      <c r="C61" s="114"/>
      <c r="D61" s="138"/>
      <c r="E61" s="138"/>
      <c r="F61" s="138"/>
      <c r="G61" s="138"/>
      <c r="H61" s="138"/>
      <c r="I61" s="138"/>
      <c r="J61" s="138" t="str">
        <f t="shared" si="0"/>
        <v/>
      </c>
      <c r="K61" s="141"/>
      <c r="L61" s="141"/>
      <c r="M61" s="144"/>
      <c r="N61" s="144"/>
      <c r="O61" s="144"/>
      <c r="P61" s="144"/>
      <c r="Q61" s="144"/>
      <c r="R61" s="144"/>
      <c r="S61" s="147"/>
      <c r="T61" s="147"/>
      <c r="U61" s="147"/>
      <c r="V61" s="147"/>
      <c r="W61" s="115"/>
      <c r="X61" s="115"/>
      <c r="Y61" s="115"/>
      <c r="Z61" s="144"/>
      <c r="AA61" s="114"/>
      <c r="AB61" s="144"/>
      <c r="AC61" s="114"/>
      <c r="AD61" s="144"/>
      <c r="AE61" s="144"/>
      <c r="AF61" s="114"/>
      <c r="AG61" s="60"/>
    </row>
    <row r="62" spans="1:33" s="88" customFormat="1" ht="15" x14ac:dyDescent="0.2">
      <c r="A62" s="59"/>
      <c r="B62" s="114"/>
      <c r="C62" s="114"/>
      <c r="D62" s="138"/>
      <c r="E62" s="138"/>
      <c r="F62" s="138"/>
      <c r="G62" s="138"/>
      <c r="H62" s="138"/>
      <c r="I62" s="138"/>
      <c r="J62" s="138" t="str">
        <f t="shared" si="0"/>
        <v/>
      </c>
      <c r="K62" s="141"/>
      <c r="L62" s="141"/>
      <c r="M62" s="144"/>
      <c r="N62" s="144"/>
      <c r="O62" s="144"/>
      <c r="P62" s="144"/>
      <c r="Q62" s="144"/>
      <c r="R62" s="144"/>
      <c r="S62" s="147"/>
      <c r="T62" s="147"/>
      <c r="U62" s="147"/>
      <c r="V62" s="147"/>
      <c r="W62" s="115"/>
      <c r="X62" s="115"/>
      <c r="Y62" s="115"/>
      <c r="Z62" s="144"/>
      <c r="AA62" s="114"/>
      <c r="AB62" s="144"/>
      <c r="AC62" s="114"/>
      <c r="AD62" s="144"/>
      <c r="AE62" s="144"/>
      <c r="AF62" s="114"/>
      <c r="AG62" s="60"/>
    </row>
    <row r="63" spans="1:33" s="88" customFormat="1" ht="15" x14ac:dyDescent="0.2">
      <c r="A63" s="59"/>
      <c r="B63" s="114"/>
      <c r="C63" s="114"/>
      <c r="D63" s="138"/>
      <c r="E63" s="138"/>
      <c r="F63" s="138"/>
      <c r="G63" s="138"/>
      <c r="H63" s="138"/>
      <c r="I63" s="138"/>
      <c r="J63" s="138" t="str">
        <f t="shared" si="0"/>
        <v/>
      </c>
      <c r="K63" s="141"/>
      <c r="L63" s="141"/>
      <c r="M63" s="144"/>
      <c r="N63" s="144"/>
      <c r="O63" s="144"/>
      <c r="P63" s="144"/>
      <c r="Q63" s="144"/>
      <c r="R63" s="144"/>
      <c r="S63" s="147"/>
      <c r="T63" s="147"/>
      <c r="U63" s="147"/>
      <c r="V63" s="147"/>
      <c r="W63" s="115"/>
      <c r="X63" s="115"/>
      <c r="Y63" s="115"/>
      <c r="Z63" s="144"/>
      <c r="AA63" s="114"/>
      <c r="AB63" s="144"/>
      <c r="AC63" s="114"/>
      <c r="AD63" s="144"/>
      <c r="AE63" s="144"/>
      <c r="AF63" s="114"/>
      <c r="AG63" s="60"/>
    </row>
    <row r="64" spans="1:33" s="88" customFormat="1" ht="15" x14ac:dyDescent="0.2">
      <c r="A64" s="59"/>
      <c r="B64" s="114"/>
      <c r="C64" s="114"/>
      <c r="D64" s="138"/>
      <c r="E64" s="138"/>
      <c r="F64" s="138"/>
      <c r="G64" s="138"/>
      <c r="H64" s="138"/>
      <c r="I64" s="138"/>
      <c r="J64" s="138" t="str">
        <f t="shared" si="0"/>
        <v/>
      </c>
      <c r="K64" s="141"/>
      <c r="L64" s="141"/>
      <c r="M64" s="144"/>
      <c r="N64" s="144"/>
      <c r="O64" s="144"/>
      <c r="P64" s="144"/>
      <c r="Q64" s="144"/>
      <c r="R64" s="144"/>
      <c r="S64" s="147"/>
      <c r="T64" s="147"/>
      <c r="U64" s="147"/>
      <c r="V64" s="147"/>
      <c r="W64" s="115"/>
      <c r="X64" s="115"/>
      <c r="Y64" s="115"/>
      <c r="Z64" s="144"/>
      <c r="AA64" s="114"/>
      <c r="AB64" s="144"/>
      <c r="AC64" s="114"/>
      <c r="AD64" s="144"/>
      <c r="AE64" s="144"/>
      <c r="AF64" s="114"/>
      <c r="AG64" s="60"/>
    </row>
    <row r="65" spans="1:33" s="88" customFormat="1" ht="15" x14ac:dyDescent="0.2">
      <c r="A65" s="59"/>
      <c r="B65" s="114"/>
      <c r="C65" s="114"/>
      <c r="D65" s="138"/>
      <c r="E65" s="138"/>
      <c r="F65" s="138"/>
      <c r="G65" s="138"/>
      <c r="H65" s="138"/>
      <c r="I65" s="138"/>
      <c r="J65" s="138" t="str">
        <f t="shared" si="0"/>
        <v/>
      </c>
      <c r="K65" s="141"/>
      <c r="L65" s="141"/>
      <c r="M65" s="144"/>
      <c r="N65" s="144"/>
      <c r="O65" s="144"/>
      <c r="P65" s="144"/>
      <c r="Q65" s="144"/>
      <c r="R65" s="144"/>
      <c r="S65" s="147"/>
      <c r="T65" s="147"/>
      <c r="U65" s="147"/>
      <c r="V65" s="147"/>
      <c r="W65" s="115"/>
      <c r="X65" s="115"/>
      <c r="Y65" s="115"/>
      <c r="Z65" s="144"/>
      <c r="AA65" s="114"/>
      <c r="AB65" s="144"/>
      <c r="AC65" s="114"/>
      <c r="AD65" s="144"/>
      <c r="AE65" s="144"/>
      <c r="AF65" s="114"/>
      <c r="AG65" s="60"/>
    </row>
    <row r="66" spans="1:33" s="88" customFormat="1" ht="15" x14ac:dyDescent="0.2">
      <c r="A66" s="59"/>
      <c r="B66" s="114"/>
      <c r="C66" s="114"/>
      <c r="D66" s="138"/>
      <c r="E66" s="138"/>
      <c r="F66" s="138"/>
      <c r="G66" s="138"/>
      <c r="H66" s="138"/>
      <c r="I66" s="138"/>
      <c r="J66" s="138" t="str">
        <f t="shared" si="0"/>
        <v/>
      </c>
      <c r="K66" s="141"/>
      <c r="L66" s="141"/>
      <c r="M66" s="144"/>
      <c r="N66" s="144"/>
      <c r="O66" s="144"/>
      <c r="P66" s="144"/>
      <c r="Q66" s="144"/>
      <c r="R66" s="144"/>
      <c r="S66" s="147"/>
      <c r="T66" s="147"/>
      <c r="U66" s="147"/>
      <c r="V66" s="147"/>
      <c r="W66" s="115"/>
      <c r="X66" s="115"/>
      <c r="Y66" s="115"/>
      <c r="Z66" s="144"/>
      <c r="AA66" s="114"/>
      <c r="AB66" s="144"/>
      <c r="AC66" s="114"/>
      <c r="AD66" s="144"/>
      <c r="AE66" s="144"/>
      <c r="AF66" s="114"/>
      <c r="AG66" s="60"/>
    </row>
    <row r="67" spans="1:33" s="88" customFormat="1" ht="15" x14ac:dyDescent="0.2">
      <c r="A67" s="59"/>
      <c r="B67" s="114"/>
      <c r="C67" s="114"/>
      <c r="D67" s="138"/>
      <c r="E67" s="138"/>
      <c r="F67" s="138"/>
      <c r="G67" s="138"/>
      <c r="H67" s="138"/>
      <c r="I67" s="138"/>
      <c r="J67" s="138" t="str">
        <f t="shared" si="0"/>
        <v/>
      </c>
      <c r="K67" s="141"/>
      <c r="L67" s="141"/>
      <c r="M67" s="144"/>
      <c r="N67" s="144"/>
      <c r="O67" s="144"/>
      <c r="P67" s="144"/>
      <c r="Q67" s="144"/>
      <c r="R67" s="144"/>
      <c r="S67" s="147"/>
      <c r="T67" s="147"/>
      <c r="U67" s="147"/>
      <c r="V67" s="147"/>
      <c r="W67" s="115"/>
      <c r="X67" s="115"/>
      <c r="Y67" s="115"/>
      <c r="Z67" s="144"/>
      <c r="AA67" s="114"/>
      <c r="AB67" s="144"/>
      <c r="AC67" s="114"/>
      <c r="AD67" s="144"/>
      <c r="AE67" s="144"/>
      <c r="AF67" s="114"/>
      <c r="AG67" s="60"/>
    </row>
    <row r="68" spans="1:33" s="88" customFormat="1" ht="15" x14ac:dyDescent="0.2">
      <c r="A68" s="59"/>
      <c r="B68" s="114"/>
      <c r="C68" s="114"/>
      <c r="D68" s="138"/>
      <c r="E68" s="138"/>
      <c r="F68" s="138"/>
      <c r="G68" s="138"/>
      <c r="H68" s="138"/>
      <c r="I68" s="138"/>
      <c r="J68" s="138" t="str">
        <f t="shared" si="0"/>
        <v/>
      </c>
      <c r="K68" s="141"/>
      <c r="L68" s="141"/>
      <c r="M68" s="144"/>
      <c r="N68" s="144"/>
      <c r="O68" s="144"/>
      <c r="P68" s="144"/>
      <c r="Q68" s="144"/>
      <c r="R68" s="144"/>
      <c r="S68" s="147"/>
      <c r="T68" s="147"/>
      <c r="U68" s="147"/>
      <c r="V68" s="147"/>
      <c r="W68" s="115"/>
      <c r="X68" s="115"/>
      <c r="Y68" s="115"/>
      <c r="Z68" s="144"/>
      <c r="AA68" s="114"/>
      <c r="AB68" s="144"/>
      <c r="AC68" s="114"/>
      <c r="AD68" s="144"/>
      <c r="AE68" s="144"/>
      <c r="AF68" s="114"/>
      <c r="AG68" s="60"/>
    </row>
    <row r="69" spans="1:33" s="88" customFormat="1" ht="15" x14ac:dyDescent="0.2">
      <c r="A69" s="59"/>
      <c r="B69" s="114"/>
      <c r="C69" s="114"/>
      <c r="D69" s="138"/>
      <c r="E69" s="138"/>
      <c r="F69" s="138"/>
      <c r="G69" s="138"/>
      <c r="H69" s="138"/>
      <c r="I69" s="138"/>
      <c r="J69" s="138" t="str">
        <f t="shared" si="0"/>
        <v/>
      </c>
      <c r="K69" s="141"/>
      <c r="L69" s="141"/>
      <c r="M69" s="144"/>
      <c r="N69" s="144"/>
      <c r="O69" s="144"/>
      <c r="P69" s="144"/>
      <c r="Q69" s="144"/>
      <c r="R69" s="144"/>
      <c r="S69" s="147"/>
      <c r="T69" s="147"/>
      <c r="U69" s="147"/>
      <c r="V69" s="147"/>
      <c r="W69" s="115"/>
      <c r="X69" s="115"/>
      <c r="Y69" s="115"/>
      <c r="Z69" s="144"/>
      <c r="AA69" s="114"/>
      <c r="AB69" s="144"/>
      <c r="AC69" s="114"/>
      <c r="AD69" s="144"/>
      <c r="AE69" s="144"/>
      <c r="AF69" s="114"/>
      <c r="AG69" s="60"/>
    </row>
    <row r="70" spans="1:33" s="88" customFormat="1" ht="15" x14ac:dyDescent="0.2">
      <c r="A70" s="59"/>
      <c r="B70" s="114"/>
      <c r="C70" s="114"/>
      <c r="D70" s="138"/>
      <c r="E70" s="138"/>
      <c r="F70" s="138"/>
      <c r="G70" s="138"/>
      <c r="H70" s="138"/>
      <c r="I70" s="138"/>
      <c r="J70" s="138" t="str">
        <f t="shared" si="0"/>
        <v/>
      </c>
      <c r="K70" s="141"/>
      <c r="L70" s="141"/>
      <c r="M70" s="144"/>
      <c r="N70" s="144"/>
      <c r="O70" s="144"/>
      <c r="P70" s="144"/>
      <c r="Q70" s="144"/>
      <c r="R70" s="144"/>
      <c r="S70" s="147"/>
      <c r="T70" s="147"/>
      <c r="U70" s="147"/>
      <c r="V70" s="147"/>
      <c r="W70" s="115"/>
      <c r="X70" s="115"/>
      <c r="Y70" s="115"/>
      <c r="Z70" s="144"/>
      <c r="AA70" s="114"/>
      <c r="AB70" s="144"/>
      <c r="AC70" s="114"/>
      <c r="AD70" s="144"/>
      <c r="AE70" s="144"/>
      <c r="AF70" s="114"/>
      <c r="AG70" s="60"/>
    </row>
    <row r="71" spans="1:33" s="88" customFormat="1" ht="15" x14ac:dyDescent="0.2">
      <c r="A71" s="59"/>
      <c r="B71" s="114"/>
      <c r="C71" s="114"/>
      <c r="D71" s="138"/>
      <c r="E71" s="138"/>
      <c r="F71" s="138"/>
      <c r="G71" s="138"/>
      <c r="H71" s="138"/>
      <c r="I71" s="138"/>
      <c r="J71" s="138" t="str">
        <f t="shared" si="0"/>
        <v/>
      </c>
      <c r="K71" s="141"/>
      <c r="L71" s="141"/>
      <c r="M71" s="144"/>
      <c r="N71" s="144"/>
      <c r="O71" s="144"/>
      <c r="P71" s="144"/>
      <c r="Q71" s="144"/>
      <c r="R71" s="144"/>
      <c r="S71" s="147"/>
      <c r="T71" s="147"/>
      <c r="U71" s="147"/>
      <c r="V71" s="147"/>
      <c r="W71" s="115"/>
      <c r="X71" s="115"/>
      <c r="Y71" s="115"/>
      <c r="Z71" s="144"/>
      <c r="AA71" s="114"/>
      <c r="AB71" s="144"/>
      <c r="AC71" s="114"/>
      <c r="AD71" s="144"/>
      <c r="AE71" s="144"/>
      <c r="AF71" s="114"/>
      <c r="AG71" s="60"/>
    </row>
    <row r="72" spans="1:33" s="88" customFormat="1" ht="15" x14ac:dyDescent="0.2">
      <c r="A72" s="59"/>
      <c r="B72" s="114"/>
      <c r="C72" s="114"/>
      <c r="D72" s="138"/>
      <c r="E72" s="138"/>
      <c r="F72" s="138"/>
      <c r="G72" s="138"/>
      <c r="H72" s="138"/>
      <c r="I72" s="138"/>
      <c r="J72" s="138" t="str">
        <f t="shared" si="0"/>
        <v/>
      </c>
      <c r="K72" s="141"/>
      <c r="L72" s="141"/>
      <c r="M72" s="144"/>
      <c r="N72" s="144"/>
      <c r="O72" s="144"/>
      <c r="P72" s="144"/>
      <c r="Q72" s="144"/>
      <c r="R72" s="144"/>
      <c r="S72" s="147"/>
      <c r="T72" s="147"/>
      <c r="U72" s="147"/>
      <c r="V72" s="147"/>
      <c r="W72" s="115"/>
      <c r="X72" s="115"/>
      <c r="Y72" s="115"/>
      <c r="Z72" s="144"/>
      <c r="AA72" s="114"/>
      <c r="AB72" s="144"/>
      <c r="AC72" s="114"/>
      <c r="AD72" s="144"/>
      <c r="AE72" s="144"/>
      <c r="AF72" s="114"/>
      <c r="AG72" s="60"/>
    </row>
    <row r="73" spans="1:33" s="88" customFormat="1" ht="15" x14ac:dyDescent="0.2">
      <c r="A73" s="59"/>
      <c r="B73" s="114"/>
      <c r="C73" s="114"/>
      <c r="D73" s="138"/>
      <c r="E73" s="138"/>
      <c r="F73" s="138"/>
      <c r="G73" s="138"/>
      <c r="H73" s="138"/>
      <c r="I73" s="138"/>
      <c r="J73" s="138" t="str">
        <f t="shared" si="0"/>
        <v/>
      </c>
      <c r="K73" s="141"/>
      <c r="L73" s="141"/>
      <c r="M73" s="144"/>
      <c r="N73" s="144"/>
      <c r="O73" s="144"/>
      <c r="P73" s="144"/>
      <c r="Q73" s="144"/>
      <c r="R73" s="144"/>
      <c r="S73" s="147"/>
      <c r="T73" s="147"/>
      <c r="U73" s="147"/>
      <c r="V73" s="147"/>
      <c r="W73" s="115"/>
      <c r="X73" s="115"/>
      <c r="Y73" s="115"/>
      <c r="Z73" s="144"/>
      <c r="AA73" s="114"/>
      <c r="AB73" s="144"/>
      <c r="AC73" s="114"/>
      <c r="AD73" s="144"/>
      <c r="AE73" s="144"/>
      <c r="AF73" s="114"/>
      <c r="AG73" s="60"/>
    </row>
    <row r="74" spans="1:33" s="88" customFormat="1" ht="15" x14ac:dyDescent="0.2">
      <c r="A74" s="59"/>
      <c r="B74" s="114"/>
      <c r="C74" s="114"/>
      <c r="D74" s="138"/>
      <c r="E74" s="138"/>
      <c r="F74" s="138"/>
      <c r="G74" s="138"/>
      <c r="H74" s="138"/>
      <c r="I74" s="138"/>
      <c r="J74" s="138" t="str">
        <f t="shared" si="0"/>
        <v/>
      </c>
      <c r="K74" s="141"/>
      <c r="L74" s="141"/>
      <c r="M74" s="144"/>
      <c r="N74" s="144"/>
      <c r="O74" s="144"/>
      <c r="P74" s="144"/>
      <c r="Q74" s="144"/>
      <c r="R74" s="144"/>
      <c r="S74" s="147"/>
      <c r="T74" s="147"/>
      <c r="U74" s="147"/>
      <c r="V74" s="147"/>
      <c r="W74" s="115"/>
      <c r="X74" s="115"/>
      <c r="Y74" s="115"/>
      <c r="Z74" s="144"/>
      <c r="AA74" s="114"/>
      <c r="AB74" s="144"/>
      <c r="AC74" s="114"/>
      <c r="AD74" s="144"/>
      <c r="AE74" s="144"/>
      <c r="AF74" s="114"/>
      <c r="AG74" s="60"/>
    </row>
    <row r="75" spans="1:33" s="88" customFormat="1" ht="15" x14ac:dyDescent="0.2">
      <c r="A75" s="59"/>
      <c r="B75" s="114"/>
      <c r="C75" s="114"/>
      <c r="D75" s="138"/>
      <c r="E75" s="138"/>
      <c r="F75" s="138"/>
      <c r="G75" s="138"/>
      <c r="H75" s="138"/>
      <c r="I75" s="138"/>
      <c r="J75" s="138" t="str">
        <f t="shared" si="0"/>
        <v/>
      </c>
      <c r="K75" s="141"/>
      <c r="L75" s="141"/>
      <c r="M75" s="144"/>
      <c r="N75" s="144"/>
      <c r="O75" s="144"/>
      <c r="P75" s="144"/>
      <c r="Q75" s="144"/>
      <c r="R75" s="144"/>
      <c r="S75" s="147"/>
      <c r="T75" s="147"/>
      <c r="U75" s="147"/>
      <c r="V75" s="147"/>
      <c r="W75" s="115"/>
      <c r="X75" s="115"/>
      <c r="Y75" s="115"/>
      <c r="Z75" s="144"/>
      <c r="AA75" s="114"/>
      <c r="AB75" s="144"/>
      <c r="AC75" s="114"/>
      <c r="AD75" s="144"/>
      <c r="AE75" s="144"/>
      <c r="AF75" s="114"/>
      <c r="AG75" s="60"/>
    </row>
    <row r="76" spans="1:33" s="88" customFormat="1" ht="15" x14ac:dyDescent="0.2">
      <c r="A76" s="59"/>
      <c r="B76" s="114"/>
      <c r="C76" s="114"/>
      <c r="D76" s="138"/>
      <c r="E76" s="138"/>
      <c r="F76" s="138"/>
      <c r="G76" s="138"/>
      <c r="H76" s="138"/>
      <c r="I76" s="138"/>
      <c r="J76" s="138" t="str">
        <f t="shared" si="0"/>
        <v/>
      </c>
      <c r="K76" s="141"/>
      <c r="L76" s="141"/>
      <c r="M76" s="144"/>
      <c r="N76" s="144"/>
      <c r="O76" s="144"/>
      <c r="P76" s="144"/>
      <c r="Q76" s="144"/>
      <c r="R76" s="144"/>
      <c r="S76" s="147"/>
      <c r="T76" s="147"/>
      <c r="U76" s="147"/>
      <c r="V76" s="147"/>
      <c r="W76" s="115"/>
      <c r="X76" s="115"/>
      <c r="Y76" s="115"/>
      <c r="Z76" s="144"/>
      <c r="AA76" s="114"/>
      <c r="AB76" s="144"/>
      <c r="AC76" s="114"/>
      <c r="AD76" s="144"/>
      <c r="AE76" s="144"/>
      <c r="AF76" s="114"/>
      <c r="AG76" s="60"/>
    </row>
    <row r="77" spans="1:33" s="88" customFormat="1" ht="15" x14ac:dyDescent="0.2">
      <c r="A77" s="59"/>
      <c r="B77" s="114"/>
      <c r="C77" s="114"/>
      <c r="D77" s="138"/>
      <c r="E77" s="138"/>
      <c r="F77" s="138"/>
      <c r="G77" s="138"/>
      <c r="H77" s="138"/>
      <c r="I77" s="138"/>
      <c r="J77" s="138" t="str">
        <f t="shared" si="0"/>
        <v/>
      </c>
      <c r="K77" s="141"/>
      <c r="L77" s="141"/>
      <c r="M77" s="144"/>
      <c r="N77" s="144"/>
      <c r="O77" s="144"/>
      <c r="P77" s="144"/>
      <c r="Q77" s="144"/>
      <c r="R77" s="144"/>
      <c r="S77" s="147"/>
      <c r="T77" s="147"/>
      <c r="U77" s="147"/>
      <c r="V77" s="147"/>
      <c r="W77" s="115"/>
      <c r="X77" s="115"/>
      <c r="Y77" s="115"/>
      <c r="Z77" s="144"/>
      <c r="AA77" s="114"/>
      <c r="AB77" s="144"/>
      <c r="AC77" s="114"/>
      <c r="AD77" s="144"/>
      <c r="AE77" s="144"/>
      <c r="AF77" s="114"/>
      <c r="AG77" s="60"/>
    </row>
    <row r="78" spans="1:33" s="88" customFormat="1" ht="15" x14ac:dyDescent="0.2">
      <c r="A78" s="59"/>
      <c r="B78" s="114"/>
      <c r="C78" s="114"/>
      <c r="D78" s="138"/>
      <c r="E78" s="138"/>
      <c r="F78" s="138"/>
      <c r="G78" s="138"/>
      <c r="H78" s="138"/>
      <c r="I78" s="138"/>
      <c r="J78" s="138" t="str">
        <f t="shared" si="0"/>
        <v/>
      </c>
      <c r="K78" s="141"/>
      <c r="L78" s="141"/>
      <c r="M78" s="144"/>
      <c r="N78" s="144"/>
      <c r="O78" s="144"/>
      <c r="P78" s="144"/>
      <c r="Q78" s="144"/>
      <c r="R78" s="144"/>
      <c r="S78" s="147"/>
      <c r="T78" s="147"/>
      <c r="U78" s="147"/>
      <c r="V78" s="147"/>
      <c r="W78" s="115"/>
      <c r="X78" s="115"/>
      <c r="Y78" s="115"/>
      <c r="Z78" s="144"/>
      <c r="AA78" s="114"/>
      <c r="AB78" s="144"/>
      <c r="AC78" s="114"/>
      <c r="AD78" s="144"/>
      <c r="AE78" s="144"/>
      <c r="AF78" s="114"/>
      <c r="AG78" s="60"/>
    </row>
    <row r="79" spans="1:33" s="88" customFormat="1" ht="15" x14ac:dyDescent="0.2">
      <c r="A79" s="59"/>
      <c r="B79" s="114"/>
      <c r="C79" s="114"/>
      <c r="D79" s="138"/>
      <c r="E79" s="138"/>
      <c r="F79" s="138"/>
      <c r="G79" s="138"/>
      <c r="H79" s="138"/>
      <c r="I79" s="138"/>
      <c r="J79" s="138" t="str">
        <f t="shared" si="0"/>
        <v/>
      </c>
      <c r="K79" s="141"/>
      <c r="L79" s="141"/>
      <c r="M79" s="144"/>
      <c r="N79" s="144"/>
      <c r="O79" s="144"/>
      <c r="P79" s="144"/>
      <c r="Q79" s="144"/>
      <c r="R79" s="144"/>
      <c r="S79" s="147"/>
      <c r="T79" s="147"/>
      <c r="U79" s="147"/>
      <c r="V79" s="147"/>
      <c r="W79" s="115"/>
      <c r="X79" s="115"/>
      <c r="Y79" s="115"/>
      <c r="Z79" s="144"/>
      <c r="AA79" s="114"/>
      <c r="AB79" s="144"/>
      <c r="AC79" s="114"/>
      <c r="AD79" s="144"/>
      <c r="AE79" s="144"/>
      <c r="AF79" s="114"/>
      <c r="AG79" s="60"/>
    </row>
    <row r="80" spans="1:33" s="88" customFormat="1" ht="15" x14ac:dyDescent="0.2">
      <c r="A80" s="59"/>
      <c r="B80" s="114"/>
      <c r="C80" s="114"/>
      <c r="D80" s="138"/>
      <c r="E80" s="138"/>
      <c r="F80" s="138"/>
      <c r="G80" s="138"/>
      <c r="H80" s="138"/>
      <c r="I80" s="138"/>
      <c r="J80" s="138" t="str">
        <f t="shared" si="0"/>
        <v/>
      </c>
      <c r="K80" s="141"/>
      <c r="L80" s="141"/>
      <c r="M80" s="144"/>
      <c r="N80" s="144"/>
      <c r="O80" s="144"/>
      <c r="P80" s="144"/>
      <c r="Q80" s="144"/>
      <c r="R80" s="144"/>
      <c r="S80" s="147"/>
      <c r="T80" s="147"/>
      <c r="U80" s="147"/>
      <c r="V80" s="147"/>
      <c r="W80" s="115"/>
      <c r="X80" s="115"/>
      <c r="Y80" s="115"/>
      <c r="Z80" s="144"/>
      <c r="AA80" s="114"/>
      <c r="AB80" s="144"/>
      <c r="AC80" s="114"/>
      <c r="AD80" s="144"/>
      <c r="AE80" s="144"/>
      <c r="AF80" s="114"/>
      <c r="AG80" s="60"/>
    </row>
    <row r="81" spans="1:33" s="88" customFormat="1" ht="15" x14ac:dyDescent="0.2">
      <c r="A81" s="59"/>
      <c r="B81" s="114"/>
      <c r="C81" s="114"/>
      <c r="D81" s="138"/>
      <c r="E81" s="138"/>
      <c r="F81" s="138"/>
      <c r="G81" s="138"/>
      <c r="H81" s="138"/>
      <c r="I81" s="138"/>
      <c r="J81" s="138" t="str">
        <f t="shared" si="0"/>
        <v/>
      </c>
      <c r="K81" s="141"/>
      <c r="L81" s="141"/>
      <c r="M81" s="144"/>
      <c r="N81" s="144"/>
      <c r="O81" s="144"/>
      <c r="P81" s="144"/>
      <c r="Q81" s="144"/>
      <c r="R81" s="144"/>
      <c r="S81" s="147"/>
      <c r="T81" s="147"/>
      <c r="U81" s="147"/>
      <c r="V81" s="147"/>
      <c r="W81" s="115"/>
      <c r="X81" s="115"/>
      <c r="Y81" s="115"/>
      <c r="Z81" s="144"/>
      <c r="AA81" s="114"/>
      <c r="AB81" s="144"/>
      <c r="AC81" s="114"/>
      <c r="AD81" s="144"/>
      <c r="AE81" s="144"/>
      <c r="AF81" s="114"/>
      <c r="AG81" s="60"/>
    </row>
    <row r="82" spans="1:33" s="88" customFormat="1" ht="15" x14ac:dyDescent="0.2">
      <c r="A82" s="59"/>
      <c r="B82" s="114"/>
      <c r="C82" s="114"/>
      <c r="D82" s="138"/>
      <c r="E82" s="138"/>
      <c r="F82" s="138"/>
      <c r="G82" s="138"/>
      <c r="H82" s="138"/>
      <c r="I82" s="138"/>
      <c r="J82" s="138" t="str">
        <f t="shared" si="0"/>
        <v/>
      </c>
      <c r="K82" s="141"/>
      <c r="L82" s="141"/>
      <c r="M82" s="144"/>
      <c r="N82" s="144"/>
      <c r="O82" s="144"/>
      <c r="P82" s="144"/>
      <c r="Q82" s="144"/>
      <c r="R82" s="144"/>
      <c r="S82" s="147"/>
      <c r="T82" s="147"/>
      <c r="U82" s="147"/>
      <c r="V82" s="147"/>
      <c r="W82" s="115"/>
      <c r="X82" s="115"/>
      <c r="Y82" s="115"/>
      <c r="Z82" s="144"/>
      <c r="AA82" s="114"/>
      <c r="AB82" s="144"/>
      <c r="AC82" s="114"/>
      <c r="AD82" s="144"/>
      <c r="AE82" s="144"/>
      <c r="AF82" s="114"/>
      <c r="AG82" s="60"/>
    </row>
    <row r="83" spans="1:33" s="88" customFormat="1" ht="15" x14ac:dyDescent="0.2">
      <c r="A83" s="59"/>
      <c r="B83" s="114"/>
      <c r="C83" s="114"/>
      <c r="D83" s="138"/>
      <c r="E83" s="138"/>
      <c r="F83" s="138"/>
      <c r="G83" s="138"/>
      <c r="H83" s="138"/>
      <c r="I83" s="138"/>
      <c r="J83" s="138" t="str">
        <f t="shared" si="0"/>
        <v/>
      </c>
      <c r="K83" s="141"/>
      <c r="L83" s="141"/>
      <c r="M83" s="144"/>
      <c r="N83" s="144"/>
      <c r="O83" s="144"/>
      <c r="P83" s="144"/>
      <c r="Q83" s="144"/>
      <c r="R83" s="144"/>
      <c r="S83" s="147"/>
      <c r="T83" s="147"/>
      <c r="U83" s="147"/>
      <c r="V83" s="147"/>
      <c r="W83" s="115"/>
      <c r="X83" s="115"/>
      <c r="Y83" s="115"/>
      <c r="Z83" s="144"/>
      <c r="AA83" s="114"/>
      <c r="AB83" s="144"/>
      <c r="AC83" s="114"/>
      <c r="AD83" s="144"/>
      <c r="AE83" s="144"/>
      <c r="AF83" s="114"/>
      <c r="AG83" s="60"/>
    </row>
    <row r="84" spans="1:33" ht="15" x14ac:dyDescent="0.2">
      <c r="A84" s="59"/>
      <c r="B84" s="114"/>
      <c r="C84" s="114"/>
      <c r="D84" s="138"/>
      <c r="E84" s="138"/>
      <c r="F84" s="138"/>
      <c r="G84" s="138"/>
      <c r="H84" s="138"/>
      <c r="I84" s="138"/>
      <c r="J84" s="138" t="str">
        <f t="shared" si="0"/>
        <v/>
      </c>
      <c r="K84" s="141"/>
      <c r="L84" s="141"/>
      <c r="M84" s="144"/>
      <c r="N84" s="144"/>
      <c r="O84" s="144"/>
      <c r="P84" s="144"/>
      <c r="Q84" s="144"/>
      <c r="R84" s="144"/>
      <c r="S84" s="147"/>
      <c r="T84" s="147"/>
      <c r="U84" s="147"/>
      <c r="V84" s="147"/>
      <c r="W84" s="115"/>
      <c r="X84" s="115"/>
      <c r="Y84" s="115"/>
      <c r="Z84" s="144"/>
      <c r="AA84" s="114"/>
      <c r="AB84" s="149"/>
      <c r="AC84" s="116"/>
      <c r="AD84" s="149"/>
      <c r="AE84" s="149"/>
      <c r="AF84" s="114"/>
      <c r="AG84" s="60"/>
    </row>
    <row r="85" spans="1:33" ht="15.75" thickBot="1" x14ac:dyDescent="0.25">
      <c r="A85" s="59"/>
      <c r="B85" s="117"/>
      <c r="C85" s="117"/>
      <c r="D85" s="139"/>
      <c r="E85" s="139"/>
      <c r="F85" s="139"/>
      <c r="G85" s="139"/>
      <c r="H85" s="139"/>
      <c r="I85" s="139"/>
      <c r="J85" s="138" t="str">
        <f t="shared" ref="J85" si="1">IF(OR(H85="",G85=""),"",H85-G85)</f>
        <v/>
      </c>
      <c r="K85" s="142"/>
      <c r="L85" s="142"/>
      <c r="M85" s="145"/>
      <c r="N85" s="145"/>
      <c r="O85" s="145"/>
      <c r="P85" s="145"/>
      <c r="Q85" s="145"/>
      <c r="R85" s="145"/>
      <c r="S85" s="148"/>
      <c r="T85" s="148"/>
      <c r="U85" s="148"/>
      <c r="V85" s="148"/>
      <c r="W85" s="118"/>
      <c r="X85" s="118"/>
      <c r="Y85" s="118"/>
      <c r="Z85" s="145"/>
      <c r="AA85" s="117"/>
      <c r="AB85" s="145"/>
      <c r="AC85" s="117"/>
      <c r="AD85" s="145"/>
      <c r="AE85" s="145"/>
      <c r="AF85" s="117"/>
      <c r="AG85" s="60"/>
    </row>
    <row r="86" spans="1:33" ht="15.75" thickBot="1" x14ac:dyDescent="0.25">
      <c r="A86" s="95"/>
      <c r="B86" s="107"/>
      <c r="C86" s="107"/>
      <c r="D86" s="107"/>
      <c r="E86" s="107"/>
      <c r="F86" s="108"/>
      <c r="G86" s="109"/>
      <c r="H86" s="109"/>
      <c r="I86" s="109"/>
      <c r="J86" s="109"/>
      <c r="K86" s="110"/>
      <c r="L86" s="110"/>
      <c r="M86" s="110"/>
      <c r="N86" s="111"/>
      <c r="O86" s="111"/>
      <c r="P86" s="111"/>
      <c r="Q86" s="111"/>
      <c r="R86" s="111"/>
      <c r="S86" s="111"/>
      <c r="T86" s="111"/>
      <c r="U86" s="111"/>
      <c r="V86" s="111"/>
      <c r="W86" s="111"/>
      <c r="X86" s="111"/>
      <c r="Y86" s="111"/>
      <c r="Z86" s="111"/>
      <c r="AA86" s="107"/>
      <c r="AB86" s="107"/>
      <c r="AC86" s="107"/>
      <c r="AD86" s="130"/>
      <c r="AE86" s="130"/>
      <c r="AF86" s="130"/>
      <c r="AG86" s="96"/>
    </row>
    <row r="87" spans="1:33" ht="15.75" thickTop="1" x14ac:dyDescent="0.2">
      <c r="A87" s="59"/>
      <c r="B87" s="53"/>
      <c r="C87" s="53"/>
      <c r="D87" s="53"/>
      <c r="E87" s="53"/>
      <c r="F87" s="84"/>
      <c r="G87" s="85"/>
      <c r="H87" s="85"/>
      <c r="I87" s="85"/>
      <c r="J87" s="85"/>
      <c r="K87" s="86"/>
      <c r="L87" s="86"/>
      <c r="M87" s="86"/>
      <c r="N87" s="87"/>
      <c r="O87" s="87"/>
      <c r="P87" s="87"/>
      <c r="Q87" s="87"/>
      <c r="R87" s="87"/>
      <c r="S87" s="87"/>
      <c r="T87" s="87"/>
      <c r="U87" s="87"/>
      <c r="V87" s="87"/>
      <c r="W87" s="87"/>
      <c r="X87" s="53"/>
      <c r="Y87" s="53"/>
      <c r="Z87" s="53"/>
      <c r="AA87" s="53"/>
      <c r="AB87" s="53"/>
      <c r="AC87" s="53"/>
      <c r="AD87" s="53"/>
      <c r="AE87" s="53"/>
      <c r="AF87" s="53"/>
    </row>
    <row r="88" spans="1:33" ht="15" x14ac:dyDescent="0.2">
      <c r="A88" s="59"/>
      <c r="B88" s="53"/>
      <c r="C88" s="53"/>
      <c r="D88" s="53"/>
      <c r="E88" s="53"/>
      <c r="F88" s="84"/>
      <c r="G88" s="85"/>
      <c r="H88" s="85"/>
      <c r="I88" s="85"/>
      <c r="J88" s="85"/>
      <c r="K88" s="86"/>
      <c r="L88" s="86"/>
      <c r="M88" s="86"/>
      <c r="N88" s="87"/>
      <c r="O88" s="87"/>
      <c r="P88" s="87"/>
      <c r="Q88" s="87"/>
      <c r="R88" s="87"/>
      <c r="S88" s="87"/>
      <c r="T88" s="87"/>
      <c r="U88" s="87"/>
      <c r="V88" s="87"/>
      <c r="W88" s="87"/>
      <c r="X88" s="53"/>
      <c r="Y88" s="53"/>
      <c r="Z88" s="53"/>
      <c r="AA88" s="53"/>
      <c r="AB88" s="53"/>
      <c r="AC88" s="53"/>
      <c r="AD88" s="53"/>
      <c r="AE88" s="53"/>
      <c r="AF88" s="53"/>
    </row>
    <row r="89" spans="1:33" ht="15" x14ac:dyDescent="0.2">
      <c r="A89" s="59"/>
      <c r="B89" s="53"/>
      <c r="C89" s="53"/>
      <c r="D89" s="53"/>
      <c r="E89" s="53"/>
      <c r="F89" s="84"/>
      <c r="G89" s="85"/>
      <c r="H89" s="85"/>
      <c r="I89" s="85"/>
      <c r="J89" s="85"/>
      <c r="K89" s="86"/>
      <c r="L89" s="86"/>
      <c r="M89" s="86"/>
      <c r="N89" s="87"/>
      <c r="O89" s="87"/>
      <c r="P89" s="87"/>
      <c r="Q89" s="87"/>
      <c r="R89" s="87"/>
      <c r="S89" s="87"/>
      <c r="T89" s="87"/>
      <c r="U89" s="87"/>
      <c r="V89" s="87"/>
      <c r="W89" s="87"/>
      <c r="X89" s="53"/>
      <c r="Y89" s="53"/>
      <c r="Z89" s="53"/>
      <c r="AA89" s="53"/>
      <c r="AB89" s="53"/>
      <c r="AC89" s="53"/>
      <c r="AD89" s="53"/>
      <c r="AE89" s="53"/>
      <c r="AF89" s="53"/>
    </row>
    <row r="90" spans="1:33" ht="15" x14ac:dyDescent="0.2">
      <c r="A90" s="59"/>
      <c r="B90" s="53"/>
      <c r="C90" s="53"/>
      <c r="D90" s="53"/>
      <c r="E90" s="53"/>
      <c r="F90" s="84"/>
      <c r="G90" s="85"/>
      <c r="H90" s="85"/>
      <c r="I90" s="85"/>
      <c r="J90" s="85"/>
      <c r="K90" s="86"/>
      <c r="L90" s="86"/>
      <c r="M90" s="86"/>
      <c r="N90" s="87"/>
      <c r="O90" s="87"/>
      <c r="P90" s="87"/>
      <c r="Q90" s="87"/>
      <c r="R90" s="87"/>
      <c r="S90" s="87"/>
      <c r="T90" s="87"/>
      <c r="U90" s="87"/>
      <c r="V90" s="87"/>
      <c r="W90" s="87"/>
      <c r="X90" s="53"/>
      <c r="Y90" s="53"/>
      <c r="Z90" s="53"/>
      <c r="AA90" s="53"/>
      <c r="AB90" s="53"/>
      <c r="AC90" s="53"/>
      <c r="AD90" s="53"/>
      <c r="AE90" s="53"/>
      <c r="AF90" s="53"/>
    </row>
    <row r="91" spans="1:33" ht="15" x14ac:dyDescent="0.2">
      <c r="A91" s="59"/>
      <c r="B91" s="53"/>
      <c r="C91" s="53"/>
      <c r="D91" s="53"/>
      <c r="E91" s="53"/>
      <c r="F91" s="84"/>
      <c r="G91" s="85"/>
      <c r="H91" s="85"/>
      <c r="I91" s="85"/>
      <c r="J91" s="85"/>
      <c r="K91" s="86"/>
      <c r="L91" s="86"/>
      <c r="M91" s="86"/>
      <c r="N91" s="87"/>
      <c r="O91" s="87"/>
      <c r="P91" s="87"/>
      <c r="Q91" s="87"/>
      <c r="R91" s="87"/>
      <c r="S91" s="87"/>
      <c r="T91" s="87"/>
      <c r="U91" s="87"/>
      <c r="V91" s="87"/>
      <c r="W91" s="87"/>
      <c r="X91" s="53"/>
      <c r="Y91" s="53"/>
      <c r="Z91" s="53"/>
      <c r="AA91" s="53"/>
      <c r="AB91" s="53"/>
      <c r="AC91" s="53"/>
      <c r="AD91" s="53"/>
      <c r="AE91" s="53"/>
      <c r="AF91" s="53"/>
    </row>
    <row r="92" spans="1:33" ht="15" x14ac:dyDescent="0.2">
      <c r="A92" s="59"/>
      <c r="B92" s="53"/>
      <c r="C92" s="53"/>
      <c r="D92" s="53"/>
      <c r="E92" s="53"/>
      <c r="F92" s="84"/>
      <c r="G92" s="85"/>
      <c r="H92" s="85"/>
      <c r="I92" s="85"/>
      <c r="J92" s="85"/>
      <c r="K92" s="86"/>
      <c r="L92" s="86"/>
      <c r="M92" s="86"/>
      <c r="N92" s="87"/>
      <c r="O92" s="87"/>
      <c r="P92" s="87"/>
      <c r="Q92" s="87"/>
      <c r="R92" s="87"/>
      <c r="S92" s="87"/>
      <c r="T92" s="87"/>
      <c r="U92" s="87"/>
      <c r="V92" s="87"/>
      <c r="W92" s="87"/>
      <c r="X92" s="53"/>
      <c r="Y92" s="53"/>
      <c r="Z92" s="53"/>
      <c r="AA92" s="53"/>
      <c r="AB92" s="53"/>
      <c r="AC92" s="53"/>
      <c r="AD92" s="53"/>
      <c r="AE92" s="53"/>
      <c r="AF92" s="53"/>
    </row>
    <row r="93" spans="1:33" ht="15" x14ac:dyDescent="0.2">
      <c r="A93" s="59"/>
      <c r="B93" s="53"/>
      <c r="C93" s="53"/>
      <c r="D93" s="53"/>
      <c r="E93" s="53"/>
      <c r="F93" s="84"/>
      <c r="G93" s="85"/>
      <c r="H93" s="85"/>
      <c r="I93" s="85"/>
      <c r="J93" s="85"/>
      <c r="K93" s="86"/>
      <c r="L93" s="86"/>
      <c r="M93" s="86"/>
      <c r="N93" s="87"/>
      <c r="O93" s="87"/>
      <c r="P93" s="87"/>
      <c r="Q93" s="87"/>
      <c r="R93" s="87"/>
      <c r="S93" s="87"/>
      <c r="T93" s="87"/>
      <c r="U93" s="87"/>
      <c r="V93" s="87"/>
      <c r="W93" s="87"/>
      <c r="X93" s="53"/>
      <c r="Y93" s="53"/>
      <c r="Z93" s="53"/>
      <c r="AA93" s="53"/>
      <c r="AB93" s="53"/>
      <c r="AC93" s="53"/>
      <c r="AD93" s="53"/>
      <c r="AE93" s="53"/>
      <c r="AF93" s="53"/>
    </row>
    <row r="94" spans="1:33" ht="15" x14ac:dyDescent="0.2">
      <c r="A94" s="59"/>
      <c r="B94" s="53"/>
      <c r="C94" s="53"/>
      <c r="D94" s="53"/>
      <c r="E94" s="53"/>
      <c r="F94" s="84"/>
      <c r="G94" s="85"/>
      <c r="H94" s="85"/>
      <c r="I94" s="85"/>
      <c r="J94" s="85"/>
      <c r="K94" s="86"/>
      <c r="L94" s="86"/>
      <c r="M94" s="86"/>
      <c r="N94" s="87"/>
      <c r="O94" s="87"/>
      <c r="P94" s="87"/>
      <c r="Q94" s="87"/>
      <c r="R94" s="87"/>
      <c r="S94" s="87"/>
      <c r="T94" s="87"/>
      <c r="U94" s="87"/>
      <c r="V94" s="87"/>
      <c r="W94" s="87"/>
      <c r="X94" s="53"/>
      <c r="Y94" s="53"/>
      <c r="Z94" s="53"/>
      <c r="AA94" s="53"/>
      <c r="AB94" s="53"/>
      <c r="AC94" s="53"/>
      <c r="AD94" s="53"/>
      <c r="AE94" s="53"/>
      <c r="AF94" s="53"/>
    </row>
    <row r="95" spans="1:33" ht="15" x14ac:dyDescent="0.2">
      <c r="A95" s="59"/>
      <c r="B95" s="53"/>
      <c r="C95" s="53"/>
      <c r="D95" s="53"/>
      <c r="E95" s="53"/>
      <c r="F95" s="84"/>
      <c r="G95" s="85"/>
      <c r="H95" s="85"/>
      <c r="I95" s="85"/>
      <c r="J95" s="85"/>
      <c r="K95" s="86"/>
      <c r="L95" s="86"/>
      <c r="M95" s="86"/>
      <c r="N95" s="87"/>
      <c r="O95" s="87"/>
      <c r="P95" s="87"/>
      <c r="Q95" s="87"/>
      <c r="R95" s="87"/>
      <c r="S95" s="87"/>
      <c r="T95" s="87"/>
      <c r="U95" s="87"/>
      <c r="V95" s="87"/>
      <c r="W95" s="87"/>
      <c r="X95" s="53"/>
      <c r="Y95" s="53"/>
      <c r="Z95" s="53"/>
      <c r="AA95" s="53"/>
      <c r="AB95" s="53"/>
      <c r="AC95" s="53"/>
      <c r="AD95" s="53"/>
      <c r="AE95" s="53"/>
      <c r="AF95" s="53"/>
    </row>
    <row r="96" spans="1:33" ht="15" x14ac:dyDescent="0.2">
      <c r="A96" s="59"/>
      <c r="B96" s="53"/>
      <c r="C96" s="53"/>
      <c r="D96" s="53"/>
      <c r="E96" s="53"/>
      <c r="F96" s="84"/>
      <c r="G96" s="85"/>
      <c r="H96" s="85"/>
      <c r="I96" s="85"/>
      <c r="J96" s="85"/>
      <c r="K96" s="86"/>
      <c r="L96" s="86"/>
      <c r="M96" s="86"/>
      <c r="N96" s="87"/>
      <c r="O96" s="87"/>
      <c r="P96" s="87"/>
      <c r="Q96" s="87"/>
      <c r="R96" s="87"/>
      <c r="S96" s="87"/>
      <c r="T96" s="87"/>
      <c r="U96" s="87"/>
      <c r="V96" s="87"/>
      <c r="W96" s="87"/>
      <c r="X96" s="53"/>
      <c r="Y96" s="53"/>
      <c r="Z96" s="53"/>
      <c r="AA96" s="53"/>
      <c r="AB96" s="53"/>
      <c r="AC96" s="53"/>
      <c r="AD96" s="53"/>
      <c r="AE96" s="53"/>
      <c r="AF96" s="53"/>
    </row>
    <row r="97" spans="1:32" ht="15" x14ac:dyDescent="0.2">
      <c r="A97" s="59"/>
      <c r="B97" s="53"/>
      <c r="C97" s="53"/>
      <c r="D97" s="53"/>
      <c r="E97" s="53"/>
      <c r="F97" s="84"/>
      <c r="G97" s="85"/>
      <c r="H97" s="85"/>
      <c r="I97" s="85"/>
      <c r="J97" s="85"/>
      <c r="K97" s="86"/>
      <c r="L97" s="86"/>
      <c r="M97" s="86"/>
      <c r="N97" s="87"/>
      <c r="O97" s="87"/>
      <c r="P97" s="87"/>
      <c r="Q97" s="87"/>
      <c r="R97" s="87"/>
      <c r="S97" s="87"/>
      <c r="T97" s="87"/>
      <c r="U97" s="87"/>
      <c r="V97" s="87"/>
      <c r="W97" s="87"/>
      <c r="X97" s="53"/>
      <c r="Y97" s="53"/>
      <c r="Z97" s="53"/>
      <c r="AA97" s="53"/>
      <c r="AB97" s="53"/>
      <c r="AC97" s="53"/>
      <c r="AD97" s="53"/>
      <c r="AE97" s="53"/>
      <c r="AF97" s="53"/>
    </row>
    <row r="98" spans="1:32" ht="15" x14ac:dyDescent="0.2">
      <c r="A98" s="59"/>
      <c r="B98" s="53"/>
      <c r="C98" s="53"/>
      <c r="D98" s="53"/>
      <c r="E98" s="53"/>
      <c r="F98" s="84"/>
      <c r="G98" s="85"/>
      <c r="H98" s="85"/>
      <c r="I98" s="85"/>
      <c r="J98" s="85"/>
      <c r="K98" s="86"/>
      <c r="L98" s="86"/>
      <c r="M98" s="86"/>
      <c r="N98" s="87"/>
      <c r="O98" s="87"/>
      <c r="P98" s="87"/>
      <c r="Q98" s="87"/>
      <c r="R98" s="87"/>
      <c r="S98" s="87"/>
      <c r="T98" s="87"/>
      <c r="U98" s="87"/>
      <c r="V98" s="87"/>
      <c r="W98" s="87"/>
      <c r="X98" s="53"/>
      <c r="Y98" s="53"/>
      <c r="Z98" s="53"/>
      <c r="AA98" s="53"/>
      <c r="AB98" s="53"/>
      <c r="AC98" s="53"/>
      <c r="AD98" s="53"/>
      <c r="AE98" s="53"/>
      <c r="AF98" s="53"/>
    </row>
    <row r="99" spans="1:32" ht="15" x14ac:dyDescent="0.2">
      <c r="A99" s="59"/>
      <c r="B99" s="53"/>
      <c r="C99" s="53"/>
      <c r="D99" s="53"/>
      <c r="E99" s="53"/>
      <c r="F99" s="84"/>
      <c r="G99" s="85"/>
      <c r="H99" s="85"/>
      <c r="I99" s="85"/>
      <c r="J99" s="85"/>
      <c r="K99" s="86"/>
      <c r="L99" s="86"/>
      <c r="M99" s="86"/>
      <c r="N99" s="87"/>
      <c r="O99" s="87"/>
      <c r="P99" s="87"/>
      <c r="Q99" s="87"/>
      <c r="R99" s="87"/>
      <c r="S99" s="87"/>
      <c r="T99" s="87"/>
      <c r="U99" s="87"/>
      <c r="V99" s="87"/>
      <c r="W99" s="87"/>
      <c r="X99" s="53"/>
      <c r="Y99" s="53"/>
      <c r="Z99" s="53"/>
      <c r="AA99" s="53"/>
      <c r="AB99" s="53"/>
      <c r="AC99" s="53"/>
      <c r="AD99" s="53"/>
      <c r="AE99" s="53"/>
      <c r="AF99" s="53"/>
    </row>
    <row r="100" spans="1:32" ht="15" x14ac:dyDescent="0.2">
      <c r="A100" s="59"/>
      <c r="B100" s="53"/>
      <c r="C100" s="53"/>
      <c r="D100" s="53"/>
      <c r="E100" s="53"/>
      <c r="F100" s="84"/>
      <c r="G100" s="85"/>
      <c r="H100" s="85"/>
      <c r="I100" s="85"/>
      <c r="J100" s="85"/>
      <c r="K100" s="86"/>
      <c r="L100" s="86"/>
      <c r="M100" s="86"/>
      <c r="N100" s="87"/>
      <c r="O100" s="87"/>
      <c r="P100" s="87"/>
      <c r="Q100" s="87"/>
      <c r="R100" s="87"/>
      <c r="S100" s="87"/>
      <c r="T100" s="87"/>
      <c r="U100" s="87"/>
      <c r="V100" s="87"/>
      <c r="W100" s="87"/>
      <c r="X100" s="53"/>
      <c r="Y100" s="53"/>
      <c r="Z100" s="53"/>
      <c r="AA100" s="53"/>
      <c r="AB100" s="53"/>
      <c r="AC100" s="53"/>
      <c r="AD100" s="53"/>
      <c r="AE100" s="53"/>
      <c r="AF100" s="53"/>
    </row>
    <row r="101" spans="1:32" ht="15" x14ac:dyDescent="0.2">
      <c r="A101" s="59"/>
      <c r="B101" s="53"/>
      <c r="C101" s="53"/>
      <c r="D101" s="53"/>
      <c r="E101" s="53"/>
      <c r="F101" s="84"/>
      <c r="G101" s="85"/>
      <c r="H101" s="85"/>
      <c r="I101" s="85"/>
      <c r="J101" s="85"/>
      <c r="K101" s="86"/>
      <c r="L101" s="86"/>
      <c r="M101" s="86"/>
      <c r="N101" s="87"/>
      <c r="O101" s="87"/>
      <c r="P101" s="87"/>
      <c r="Q101" s="87"/>
      <c r="R101" s="87"/>
      <c r="S101" s="87"/>
      <c r="T101" s="87"/>
      <c r="U101" s="87"/>
      <c r="V101" s="87"/>
      <c r="W101" s="87"/>
      <c r="X101" s="53"/>
      <c r="Y101" s="53"/>
      <c r="Z101" s="53"/>
      <c r="AA101" s="53"/>
      <c r="AB101" s="53"/>
      <c r="AC101" s="53"/>
      <c r="AD101" s="53"/>
      <c r="AE101" s="53"/>
      <c r="AF101" s="53"/>
    </row>
    <row r="102" spans="1:32" ht="15" x14ac:dyDescent="0.2">
      <c r="A102" s="59"/>
      <c r="B102" s="53"/>
      <c r="C102" s="53"/>
      <c r="D102" s="53"/>
      <c r="E102" s="53"/>
      <c r="F102" s="84"/>
      <c r="G102" s="85"/>
      <c r="H102" s="85"/>
      <c r="I102" s="85"/>
      <c r="J102" s="85"/>
      <c r="K102" s="86"/>
      <c r="L102" s="86"/>
      <c r="M102" s="86"/>
      <c r="N102" s="87"/>
      <c r="O102" s="87"/>
      <c r="P102" s="87"/>
      <c r="Q102" s="87"/>
      <c r="R102" s="87"/>
      <c r="S102" s="87"/>
      <c r="T102" s="87"/>
      <c r="U102" s="87"/>
      <c r="V102" s="87"/>
      <c r="W102" s="87"/>
      <c r="X102" s="53"/>
      <c r="Y102" s="53"/>
      <c r="Z102" s="53"/>
      <c r="AA102" s="53"/>
      <c r="AB102" s="53"/>
      <c r="AC102" s="53"/>
      <c r="AD102" s="53"/>
      <c r="AE102" s="53"/>
      <c r="AF102" s="53"/>
    </row>
    <row r="103" spans="1:32" ht="15" x14ac:dyDescent="0.2">
      <c r="A103" s="59"/>
      <c r="B103" s="53"/>
      <c r="C103" s="53"/>
      <c r="D103" s="53"/>
      <c r="E103" s="53"/>
      <c r="F103" s="84"/>
      <c r="G103" s="85"/>
      <c r="H103" s="85"/>
      <c r="I103" s="85"/>
      <c r="J103" s="85"/>
      <c r="K103" s="86"/>
      <c r="L103" s="86"/>
      <c r="M103" s="86"/>
      <c r="N103" s="87"/>
      <c r="O103" s="87"/>
      <c r="P103" s="87"/>
      <c r="Q103" s="87"/>
      <c r="R103" s="87"/>
      <c r="S103" s="87"/>
      <c r="T103" s="87"/>
      <c r="U103" s="87"/>
      <c r="V103" s="87"/>
      <c r="W103" s="87"/>
      <c r="X103" s="53"/>
      <c r="Y103" s="53"/>
      <c r="Z103" s="53"/>
      <c r="AA103" s="53"/>
      <c r="AB103" s="53"/>
      <c r="AC103" s="53"/>
      <c r="AD103" s="53"/>
      <c r="AE103" s="53"/>
      <c r="AF103" s="53"/>
    </row>
    <row r="104" spans="1:32" ht="15" x14ac:dyDescent="0.2">
      <c r="A104" s="59"/>
      <c r="B104" s="53"/>
      <c r="C104" s="53"/>
      <c r="D104" s="53"/>
      <c r="E104" s="53"/>
      <c r="F104" s="84"/>
      <c r="G104" s="85"/>
      <c r="H104" s="85"/>
      <c r="I104" s="85"/>
      <c r="J104" s="85"/>
      <c r="K104" s="86"/>
      <c r="L104" s="86"/>
      <c r="M104" s="86"/>
      <c r="N104" s="87"/>
      <c r="O104" s="87"/>
      <c r="P104" s="87"/>
      <c r="Q104" s="87"/>
      <c r="R104" s="87"/>
      <c r="S104" s="87"/>
      <c r="T104" s="87"/>
      <c r="U104" s="87"/>
      <c r="V104" s="87"/>
      <c r="W104" s="87"/>
      <c r="X104" s="53"/>
      <c r="Y104" s="53"/>
      <c r="Z104" s="53"/>
      <c r="AA104" s="53"/>
      <c r="AB104" s="53"/>
      <c r="AC104" s="53"/>
      <c r="AD104" s="53"/>
      <c r="AE104" s="53"/>
      <c r="AF104" s="53"/>
    </row>
    <row r="105" spans="1:32" ht="15" x14ac:dyDescent="0.2">
      <c r="A105" s="59"/>
      <c r="B105" s="53"/>
      <c r="C105" s="53"/>
      <c r="D105" s="53"/>
      <c r="E105" s="53"/>
      <c r="F105" s="84"/>
      <c r="G105" s="85"/>
      <c r="H105" s="85"/>
      <c r="I105" s="85"/>
      <c r="J105" s="85"/>
      <c r="K105" s="86"/>
      <c r="L105" s="86"/>
      <c r="M105" s="86"/>
      <c r="N105" s="87"/>
      <c r="O105" s="87"/>
      <c r="P105" s="87"/>
      <c r="Q105" s="87"/>
      <c r="R105" s="87"/>
      <c r="S105" s="87"/>
      <c r="T105" s="87"/>
      <c r="U105" s="87"/>
      <c r="V105" s="87"/>
      <c r="W105" s="87"/>
      <c r="X105" s="53"/>
      <c r="Y105" s="53"/>
      <c r="Z105" s="53"/>
      <c r="AA105" s="53"/>
      <c r="AB105" s="53"/>
      <c r="AC105" s="53"/>
      <c r="AD105" s="53"/>
      <c r="AE105" s="53"/>
      <c r="AF105" s="53"/>
    </row>
    <row r="106" spans="1:32" ht="15" x14ac:dyDescent="0.2">
      <c r="A106" s="59"/>
      <c r="B106" s="53"/>
      <c r="C106" s="53"/>
      <c r="D106" s="53"/>
      <c r="E106" s="53"/>
      <c r="F106" s="84"/>
      <c r="G106" s="85"/>
      <c r="H106" s="85"/>
      <c r="I106" s="85"/>
      <c r="J106" s="85"/>
      <c r="K106" s="86"/>
      <c r="L106" s="86"/>
      <c r="M106" s="86"/>
      <c r="N106" s="87"/>
      <c r="O106" s="87"/>
      <c r="P106" s="87"/>
      <c r="Q106" s="87"/>
      <c r="R106" s="87"/>
      <c r="S106" s="87"/>
      <c r="T106" s="87"/>
      <c r="U106" s="87"/>
      <c r="V106" s="87"/>
      <c r="W106" s="87"/>
      <c r="X106" s="53"/>
      <c r="Y106" s="53"/>
      <c r="Z106" s="53"/>
      <c r="AA106" s="53"/>
      <c r="AB106" s="53"/>
      <c r="AC106" s="53"/>
      <c r="AD106" s="53"/>
      <c r="AE106" s="53"/>
      <c r="AF106" s="53"/>
    </row>
    <row r="107" spans="1:32" ht="15" x14ac:dyDescent="0.2">
      <c r="A107" s="59"/>
      <c r="B107" s="53"/>
      <c r="C107" s="53"/>
      <c r="D107" s="53"/>
      <c r="E107" s="53"/>
      <c r="F107" s="84"/>
      <c r="G107" s="85"/>
      <c r="H107" s="85"/>
      <c r="I107" s="85"/>
      <c r="J107" s="85"/>
      <c r="K107" s="86"/>
      <c r="L107" s="86"/>
      <c r="M107" s="86"/>
      <c r="N107" s="87"/>
      <c r="O107" s="87"/>
      <c r="P107" s="87"/>
      <c r="Q107" s="87"/>
      <c r="R107" s="87"/>
      <c r="S107" s="87"/>
      <c r="T107" s="87"/>
      <c r="U107" s="87"/>
      <c r="V107" s="87"/>
      <c r="W107" s="87"/>
      <c r="X107" s="53"/>
      <c r="Y107" s="53"/>
      <c r="Z107" s="53"/>
      <c r="AA107" s="53"/>
      <c r="AB107" s="53"/>
      <c r="AC107" s="53"/>
      <c r="AD107" s="53"/>
      <c r="AE107" s="53"/>
      <c r="AF107" s="53"/>
    </row>
    <row r="108" spans="1:32" ht="15" x14ac:dyDescent="0.2">
      <c r="A108" s="59"/>
      <c r="B108" s="53"/>
      <c r="C108" s="53"/>
      <c r="D108" s="53"/>
      <c r="E108" s="53"/>
      <c r="F108" s="84"/>
      <c r="G108" s="85"/>
      <c r="H108" s="85"/>
      <c r="I108" s="85"/>
      <c r="J108" s="85"/>
      <c r="K108" s="86"/>
      <c r="L108" s="86"/>
      <c r="M108" s="86"/>
      <c r="N108" s="87"/>
      <c r="O108" s="87"/>
      <c r="P108" s="87"/>
      <c r="Q108" s="87"/>
      <c r="R108" s="87"/>
      <c r="S108" s="87"/>
      <c r="T108" s="87"/>
      <c r="U108" s="87"/>
      <c r="V108" s="87"/>
      <c r="W108" s="87"/>
      <c r="X108" s="53"/>
      <c r="Y108" s="53"/>
      <c r="Z108" s="53"/>
      <c r="AA108" s="53"/>
      <c r="AB108" s="53"/>
      <c r="AC108" s="53"/>
      <c r="AD108" s="53"/>
      <c r="AE108" s="53"/>
      <c r="AF108" s="53"/>
    </row>
    <row r="109" spans="1:32" ht="15" x14ac:dyDescent="0.2">
      <c r="A109" s="59"/>
      <c r="B109" s="53"/>
      <c r="C109" s="53"/>
      <c r="D109" s="53"/>
      <c r="E109" s="53"/>
      <c r="F109" s="84"/>
      <c r="G109" s="85"/>
      <c r="H109" s="85"/>
      <c r="I109" s="85"/>
      <c r="J109" s="85"/>
      <c r="K109" s="86"/>
      <c r="L109" s="86"/>
      <c r="M109" s="86"/>
      <c r="N109" s="87"/>
      <c r="O109" s="87"/>
      <c r="P109" s="87"/>
      <c r="Q109" s="87"/>
      <c r="R109" s="87"/>
      <c r="S109" s="87"/>
      <c r="T109" s="87"/>
      <c r="U109" s="87"/>
      <c r="V109" s="87"/>
      <c r="W109" s="87"/>
      <c r="X109" s="53"/>
      <c r="Y109" s="53"/>
      <c r="Z109" s="53"/>
      <c r="AA109" s="53"/>
      <c r="AB109" s="53"/>
      <c r="AC109" s="53"/>
      <c r="AD109" s="53"/>
      <c r="AE109" s="53"/>
      <c r="AF109" s="53"/>
    </row>
    <row r="110" spans="1:32" ht="15" x14ac:dyDescent="0.2">
      <c r="A110" s="59"/>
      <c r="B110" s="53"/>
      <c r="C110" s="53"/>
      <c r="D110" s="53"/>
      <c r="E110" s="53"/>
      <c r="F110" s="84"/>
      <c r="G110" s="85"/>
      <c r="H110" s="85"/>
      <c r="I110" s="85"/>
      <c r="J110" s="85"/>
      <c r="K110" s="86"/>
      <c r="L110" s="86"/>
      <c r="M110" s="86"/>
      <c r="N110" s="87"/>
      <c r="O110" s="87"/>
      <c r="P110" s="87"/>
      <c r="Q110" s="87"/>
      <c r="R110" s="87"/>
      <c r="S110" s="87"/>
      <c r="T110" s="87"/>
      <c r="U110" s="87"/>
      <c r="V110" s="87"/>
      <c r="W110" s="87"/>
      <c r="X110" s="53"/>
      <c r="Y110" s="53"/>
      <c r="Z110" s="53"/>
      <c r="AA110" s="53"/>
      <c r="AB110" s="53"/>
      <c r="AC110" s="53"/>
      <c r="AD110" s="53"/>
      <c r="AE110" s="53"/>
      <c r="AF110" s="53"/>
    </row>
    <row r="111" spans="1:32" ht="15" x14ac:dyDescent="0.2">
      <c r="A111" s="59"/>
      <c r="B111" s="53"/>
      <c r="C111" s="53"/>
      <c r="D111" s="53"/>
      <c r="E111" s="53"/>
      <c r="F111" s="84"/>
      <c r="G111" s="85"/>
      <c r="H111" s="85"/>
      <c r="I111" s="85"/>
      <c r="J111" s="85"/>
      <c r="K111" s="86"/>
      <c r="L111" s="86"/>
      <c r="M111" s="86"/>
      <c r="N111" s="87"/>
      <c r="O111" s="87"/>
      <c r="P111" s="87"/>
      <c r="Q111" s="87"/>
      <c r="R111" s="87"/>
      <c r="S111" s="87"/>
      <c r="T111" s="87"/>
      <c r="U111" s="87"/>
      <c r="V111" s="87"/>
      <c r="W111" s="87"/>
      <c r="X111" s="53"/>
      <c r="Y111" s="53"/>
      <c r="Z111" s="53"/>
      <c r="AA111" s="53"/>
      <c r="AB111" s="53"/>
      <c r="AC111" s="53"/>
      <c r="AD111" s="53"/>
      <c r="AE111" s="53"/>
      <c r="AF111" s="53"/>
    </row>
    <row r="112" spans="1:32" ht="15" x14ac:dyDescent="0.2">
      <c r="A112" s="59"/>
      <c r="B112" s="53"/>
      <c r="C112" s="53"/>
      <c r="D112" s="53"/>
      <c r="E112" s="53"/>
      <c r="F112" s="84"/>
      <c r="G112" s="85"/>
      <c r="H112" s="85"/>
      <c r="I112" s="85"/>
      <c r="J112" s="85"/>
      <c r="K112" s="86"/>
      <c r="L112" s="86"/>
      <c r="M112" s="86"/>
      <c r="N112" s="87"/>
      <c r="O112" s="87"/>
      <c r="P112" s="87"/>
      <c r="Q112" s="87"/>
      <c r="R112" s="87"/>
      <c r="S112" s="87"/>
      <c r="T112" s="87"/>
      <c r="U112" s="87"/>
      <c r="V112" s="87"/>
      <c r="W112" s="87"/>
      <c r="X112" s="53"/>
      <c r="Y112" s="53"/>
      <c r="Z112" s="53"/>
      <c r="AA112" s="53"/>
      <c r="AB112" s="53"/>
      <c r="AC112" s="53"/>
      <c r="AD112" s="53"/>
      <c r="AE112" s="53"/>
      <c r="AF112" s="53"/>
    </row>
    <row r="113" spans="1:32" ht="15" x14ac:dyDescent="0.2">
      <c r="A113" s="59"/>
      <c r="B113" s="53"/>
      <c r="C113" s="53"/>
      <c r="D113" s="53"/>
      <c r="E113" s="53"/>
      <c r="F113" s="84"/>
      <c r="G113" s="85"/>
      <c r="H113" s="85"/>
      <c r="I113" s="85"/>
      <c r="J113" s="85"/>
      <c r="K113" s="86"/>
      <c r="L113" s="86"/>
      <c r="M113" s="86"/>
      <c r="N113" s="87"/>
      <c r="O113" s="87"/>
      <c r="P113" s="87"/>
      <c r="Q113" s="87"/>
      <c r="R113" s="87"/>
      <c r="S113" s="87"/>
      <c r="T113" s="87"/>
      <c r="U113" s="87"/>
      <c r="V113" s="87"/>
      <c r="W113" s="87"/>
      <c r="X113" s="53"/>
      <c r="Y113" s="53"/>
      <c r="Z113" s="53"/>
      <c r="AA113" s="53"/>
      <c r="AB113" s="53"/>
      <c r="AC113" s="53"/>
      <c r="AD113" s="53"/>
      <c r="AE113" s="53"/>
      <c r="AF113" s="53"/>
    </row>
    <row r="114" spans="1:32" ht="15" x14ac:dyDescent="0.2">
      <c r="A114" s="59"/>
      <c r="B114" s="53"/>
      <c r="C114" s="53"/>
      <c r="D114" s="53"/>
      <c r="E114" s="53"/>
      <c r="F114" s="84"/>
      <c r="G114" s="85"/>
      <c r="H114" s="85"/>
      <c r="I114" s="85"/>
      <c r="J114" s="85"/>
      <c r="K114" s="86"/>
      <c r="L114" s="86"/>
      <c r="M114" s="86"/>
      <c r="N114" s="87"/>
      <c r="O114" s="87"/>
      <c r="P114" s="87"/>
      <c r="Q114" s="87"/>
      <c r="R114" s="87"/>
      <c r="S114" s="87"/>
      <c r="T114" s="87"/>
      <c r="U114" s="87"/>
      <c r="V114" s="87"/>
      <c r="W114" s="87"/>
      <c r="X114" s="53"/>
      <c r="Y114" s="53"/>
      <c r="Z114" s="53"/>
      <c r="AA114" s="53"/>
      <c r="AB114" s="53"/>
      <c r="AC114" s="53"/>
      <c r="AD114" s="53"/>
      <c r="AE114" s="53"/>
      <c r="AF114" s="53"/>
    </row>
    <row r="115" spans="1:32" ht="15" x14ac:dyDescent="0.2">
      <c r="A115" s="59"/>
      <c r="B115" s="53"/>
      <c r="C115" s="53"/>
      <c r="D115" s="53"/>
      <c r="E115" s="53"/>
      <c r="F115" s="84"/>
      <c r="G115" s="85"/>
      <c r="H115" s="85"/>
      <c r="I115" s="85"/>
      <c r="J115" s="85"/>
      <c r="K115" s="86"/>
      <c r="L115" s="86"/>
      <c r="M115" s="86"/>
      <c r="N115" s="87"/>
      <c r="O115" s="87"/>
      <c r="P115" s="87"/>
      <c r="Q115" s="87"/>
      <c r="R115" s="87"/>
      <c r="S115" s="87"/>
      <c r="T115" s="87"/>
      <c r="U115" s="87"/>
      <c r="V115" s="87"/>
      <c r="W115" s="87"/>
      <c r="X115" s="53"/>
      <c r="Y115" s="53"/>
      <c r="Z115" s="53"/>
      <c r="AA115" s="53"/>
      <c r="AB115" s="53"/>
      <c r="AC115" s="53"/>
      <c r="AD115" s="53"/>
      <c r="AE115" s="53"/>
      <c r="AF115" s="53"/>
    </row>
    <row r="116" spans="1:32" ht="15" x14ac:dyDescent="0.2">
      <c r="A116" s="59"/>
      <c r="B116" s="53"/>
      <c r="C116" s="53"/>
      <c r="D116" s="53"/>
      <c r="E116" s="53"/>
      <c r="F116" s="84"/>
      <c r="G116" s="85"/>
      <c r="H116" s="85"/>
      <c r="I116" s="85"/>
      <c r="J116" s="85"/>
      <c r="K116" s="86"/>
      <c r="L116" s="86"/>
      <c r="M116" s="86"/>
      <c r="N116" s="87"/>
      <c r="O116" s="87"/>
      <c r="P116" s="87"/>
      <c r="Q116" s="87"/>
      <c r="R116" s="87"/>
      <c r="S116" s="87"/>
      <c r="T116" s="87"/>
      <c r="U116" s="87"/>
      <c r="V116" s="87"/>
      <c r="W116" s="87"/>
      <c r="X116" s="53"/>
      <c r="Y116" s="53"/>
      <c r="Z116" s="53"/>
      <c r="AA116" s="53"/>
      <c r="AB116" s="53"/>
      <c r="AC116" s="53"/>
      <c r="AD116" s="53"/>
      <c r="AE116" s="53"/>
      <c r="AF116" s="53"/>
    </row>
    <row r="117" spans="1:32" ht="15" x14ac:dyDescent="0.2">
      <c r="A117" s="59"/>
      <c r="B117" s="53"/>
      <c r="C117" s="53"/>
      <c r="D117" s="53"/>
      <c r="E117" s="53"/>
      <c r="F117" s="84"/>
      <c r="G117" s="85"/>
      <c r="H117" s="85"/>
      <c r="I117" s="85"/>
      <c r="J117" s="85"/>
      <c r="K117" s="86"/>
      <c r="L117" s="86"/>
      <c r="M117" s="86"/>
      <c r="N117" s="87"/>
      <c r="O117" s="87"/>
      <c r="P117" s="87"/>
      <c r="Q117" s="87"/>
      <c r="R117" s="87"/>
      <c r="S117" s="87"/>
      <c r="T117" s="87"/>
      <c r="U117" s="87"/>
      <c r="V117" s="87"/>
      <c r="W117" s="87"/>
      <c r="X117" s="53"/>
      <c r="Y117" s="53"/>
      <c r="Z117" s="53"/>
      <c r="AA117" s="53"/>
      <c r="AB117" s="53"/>
      <c r="AC117" s="53"/>
      <c r="AD117" s="53"/>
      <c r="AE117" s="53"/>
      <c r="AF117" s="53"/>
    </row>
    <row r="118" spans="1:32" ht="15" x14ac:dyDescent="0.2">
      <c r="A118" s="59"/>
      <c r="B118" s="53"/>
      <c r="C118" s="53"/>
      <c r="D118" s="53"/>
      <c r="E118" s="53"/>
      <c r="F118" s="84"/>
      <c r="G118" s="85"/>
      <c r="H118" s="85"/>
      <c r="I118" s="85"/>
      <c r="J118" s="85"/>
      <c r="K118" s="86"/>
      <c r="L118" s="86"/>
      <c r="M118" s="86"/>
      <c r="N118" s="87"/>
      <c r="O118" s="87"/>
      <c r="P118" s="87"/>
      <c r="Q118" s="87"/>
      <c r="R118" s="87"/>
      <c r="S118" s="87"/>
      <c r="T118" s="87"/>
      <c r="U118" s="87"/>
      <c r="V118" s="87"/>
      <c r="W118" s="87"/>
      <c r="X118" s="53"/>
      <c r="Y118" s="53"/>
      <c r="Z118" s="53"/>
      <c r="AA118" s="53"/>
      <c r="AB118" s="53"/>
      <c r="AC118" s="53"/>
      <c r="AD118" s="53"/>
      <c r="AE118" s="53"/>
      <c r="AF118" s="53"/>
    </row>
    <row r="119" spans="1:32" ht="15" x14ac:dyDescent="0.2">
      <c r="A119" s="59"/>
      <c r="B119" s="53"/>
      <c r="C119" s="53"/>
      <c r="D119" s="53"/>
      <c r="E119" s="53"/>
      <c r="F119" s="84"/>
      <c r="G119" s="85"/>
      <c r="H119" s="85"/>
      <c r="I119" s="85"/>
      <c r="J119" s="85"/>
      <c r="K119" s="86"/>
      <c r="L119" s="86"/>
      <c r="M119" s="86"/>
      <c r="N119" s="87"/>
      <c r="O119" s="87"/>
      <c r="P119" s="87"/>
      <c r="Q119" s="87"/>
      <c r="R119" s="87"/>
      <c r="S119" s="87"/>
      <c r="T119" s="87"/>
      <c r="U119" s="87"/>
      <c r="V119" s="87"/>
      <c r="W119" s="87"/>
      <c r="X119" s="53"/>
      <c r="Y119" s="53"/>
      <c r="Z119" s="53"/>
      <c r="AA119" s="53"/>
      <c r="AB119" s="53"/>
      <c r="AC119" s="53"/>
      <c r="AD119" s="53"/>
      <c r="AE119" s="53"/>
      <c r="AF119" s="53"/>
    </row>
    <row r="120" spans="1:32" ht="15" x14ac:dyDescent="0.2">
      <c r="A120" s="59"/>
      <c r="B120" s="53"/>
      <c r="C120" s="53"/>
      <c r="D120" s="53"/>
      <c r="E120" s="53"/>
      <c r="F120" s="84"/>
      <c r="G120" s="85"/>
      <c r="H120" s="85"/>
      <c r="I120" s="85"/>
      <c r="J120" s="85"/>
      <c r="K120" s="86"/>
      <c r="L120" s="86"/>
      <c r="M120" s="86"/>
      <c r="N120" s="87"/>
      <c r="O120" s="87"/>
      <c r="P120" s="87"/>
      <c r="Q120" s="87"/>
      <c r="R120" s="87"/>
      <c r="S120" s="87"/>
      <c r="T120" s="87"/>
      <c r="U120" s="87"/>
      <c r="V120" s="87"/>
      <c r="W120" s="87"/>
      <c r="X120" s="53"/>
      <c r="Y120" s="53"/>
      <c r="Z120" s="53"/>
      <c r="AA120" s="53"/>
      <c r="AB120" s="53"/>
      <c r="AC120" s="53"/>
      <c r="AD120" s="53"/>
      <c r="AE120" s="53"/>
      <c r="AF120" s="53"/>
    </row>
    <row r="121" spans="1:32" ht="15" x14ac:dyDescent="0.2">
      <c r="A121" s="59"/>
      <c r="B121" s="53"/>
      <c r="C121" s="53"/>
      <c r="D121" s="53"/>
      <c r="E121" s="53"/>
      <c r="F121" s="84"/>
      <c r="G121" s="85"/>
      <c r="H121" s="85"/>
      <c r="I121" s="85"/>
      <c r="J121" s="85"/>
      <c r="K121" s="86"/>
      <c r="L121" s="86"/>
      <c r="M121" s="86"/>
      <c r="N121" s="87"/>
      <c r="O121" s="87"/>
      <c r="P121" s="87"/>
      <c r="Q121" s="87"/>
      <c r="R121" s="87"/>
      <c r="S121" s="87"/>
      <c r="T121" s="87"/>
      <c r="U121" s="87"/>
      <c r="V121" s="87"/>
      <c r="W121" s="87"/>
      <c r="X121" s="53"/>
      <c r="Y121" s="53"/>
      <c r="Z121" s="53"/>
      <c r="AA121" s="53"/>
      <c r="AB121" s="53"/>
      <c r="AC121" s="53"/>
      <c r="AD121" s="53"/>
      <c r="AE121" s="53"/>
      <c r="AF121" s="53"/>
    </row>
    <row r="122" spans="1:32" ht="15" x14ac:dyDescent="0.2">
      <c r="A122" s="59"/>
      <c r="B122" s="53"/>
      <c r="C122" s="53"/>
      <c r="D122" s="53"/>
      <c r="E122" s="53"/>
      <c r="F122" s="84"/>
      <c r="G122" s="85"/>
      <c r="H122" s="85"/>
      <c r="I122" s="85"/>
      <c r="J122" s="85"/>
      <c r="K122" s="86"/>
      <c r="L122" s="86"/>
      <c r="M122" s="86"/>
      <c r="N122" s="87"/>
      <c r="O122" s="87"/>
      <c r="P122" s="87"/>
      <c r="Q122" s="87"/>
      <c r="R122" s="87"/>
      <c r="S122" s="87"/>
      <c r="T122" s="87"/>
      <c r="U122" s="87"/>
      <c r="V122" s="87"/>
      <c r="W122" s="87"/>
      <c r="X122" s="53"/>
      <c r="Y122" s="53"/>
      <c r="Z122" s="53"/>
      <c r="AA122" s="53"/>
      <c r="AB122" s="53"/>
      <c r="AC122" s="53"/>
      <c r="AD122" s="53"/>
      <c r="AE122" s="53"/>
      <c r="AF122" s="53"/>
    </row>
    <row r="123" spans="1:32" ht="15" x14ac:dyDescent="0.2">
      <c r="A123" s="59"/>
      <c r="B123" s="53"/>
      <c r="C123" s="53"/>
      <c r="D123" s="53"/>
      <c r="E123" s="53"/>
      <c r="F123" s="84"/>
      <c r="G123" s="85"/>
      <c r="H123" s="85"/>
      <c r="I123" s="85"/>
      <c r="J123" s="85"/>
      <c r="K123" s="86"/>
      <c r="L123" s="86"/>
      <c r="M123" s="86"/>
      <c r="N123" s="87"/>
      <c r="O123" s="87"/>
      <c r="P123" s="87"/>
      <c r="Q123" s="87"/>
      <c r="R123" s="87"/>
      <c r="S123" s="87"/>
      <c r="T123" s="87"/>
      <c r="U123" s="87"/>
      <c r="V123" s="87"/>
      <c r="W123" s="87"/>
      <c r="X123" s="53"/>
      <c r="Y123" s="53"/>
      <c r="Z123" s="53"/>
      <c r="AA123" s="53"/>
      <c r="AB123" s="53"/>
      <c r="AC123" s="53"/>
      <c r="AD123" s="53"/>
      <c r="AE123" s="53"/>
      <c r="AF123" s="53"/>
    </row>
    <row r="124" spans="1:32" ht="15" x14ac:dyDescent="0.2">
      <c r="A124" s="59"/>
      <c r="B124" s="53"/>
      <c r="C124" s="53"/>
      <c r="D124" s="53"/>
      <c r="E124" s="53"/>
      <c r="F124" s="84"/>
      <c r="G124" s="85"/>
      <c r="H124" s="85"/>
      <c r="I124" s="85"/>
      <c r="J124" s="85"/>
      <c r="K124" s="86"/>
      <c r="L124" s="86"/>
      <c r="M124" s="86"/>
      <c r="N124" s="87"/>
      <c r="O124" s="87"/>
      <c r="P124" s="87"/>
      <c r="Q124" s="87"/>
      <c r="R124" s="87"/>
      <c r="S124" s="87"/>
      <c r="T124" s="87"/>
      <c r="U124" s="87"/>
      <c r="V124" s="87"/>
      <c r="W124" s="87"/>
      <c r="X124" s="53"/>
      <c r="Y124" s="53"/>
      <c r="Z124" s="53"/>
      <c r="AA124" s="53"/>
      <c r="AB124" s="53"/>
      <c r="AC124" s="53"/>
      <c r="AD124" s="53"/>
      <c r="AE124" s="53"/>
      <c r="AF124" s="53"/>
    </row>
    <row r="125" spans="1:32" ht="15" x14ac:dyDescent="0.2">
      <c r="A125" s="59"/>
      <c r="B125" s="53"/>
      <c r="C125" s="53"/>
      <c r="D125" s="53"/>
      <c r="E125" s="53"/>
      <c r="F125" s="84"/>
      <c r="G125" s="85"/>
      <c r="H125" s="85"/>
      <c r="I125" s="85"/>
      <c r="J125" s="85"/>
      <c r="K125" s="86"/>
      <c r="L125" s="86"/>
      <c r="M125" s="86"/>
      <c r="N125" s="87"/>
      <c r="O125" s="87"/>
      <c r="P125" s="87"/>
      <c r="Q125" s="87"/>
      <c r="R125" s="87"/>
      <c r="S125" s="87"/>
      <c r="T125" s="87"/>
      <c r="U125" s="87"/>
      <c r="V125" s="87"/>
      <c r="W125" s="87"/>
      <c r="X125" s="53"/>
      <c r="Y125" s="53"/>
      <c r="Z125" s="53"/>
      <c r="AA125" s="53"/>
      <c r="AB125" s="53"/>
      <c r="AC125" s="53"/>
      <c r="AD125" s="53"/>
      <c r="AE125" s="53"/>
      <c r="AF125" s="53"/>
    </row>
    <row r="126" spans="1:32" ht="15" x14ac:dyDescent="0.2">
      <c r="A126" s="59"/>
      <c r="B126" s="53"/>
      <c r="C126" s="53"/>
      <c r="D126" s="53"/>
      <c r="E126" s="53"/>
      <c r="F126" s="84"/>
      <c r="G126" s="85"/>
      <c r="H126" s="85"/>
      <c r="I126" s="85"/>
      <c r="J126" s="85"/>
      <c r="K126" s="86"/>
      <c r="L126" s="86"/>
      <c r="M126" s="86"/>
      <c r="N126" s="87"/>
      <c r="O126" s="87"/>
      <c r="P126" s="87"/>
      <c r="Q126" s="87"/>
      <c r="R126" s="87"/>
      <c r="S126" s="87"/>
      <c r="T126" s="87"/>
      <c r="U126" s="87"/>
      <c r="V126" s="87"/>
      <c r="W126" s="87"/>
      <c r="X126" s="53"/>
      <c r="Y126" s="53"/>
      <c r="Z126" s="53"/>
      <c r="AA126" s="53"/>
      <c r="AB126" s="53"/>
      <c r="AC126" s="53"/>
      <c r="AD126" s="53"/>
      <c r="AE126" s="53"/>
      <c r="AF126" s="53"/>
    </row>
  </sheetData>
  <mergeCells count="1">
    <mergeCell ref="B2:AF6"/>
  </mergeCells>
  <dataValidations disablePrompts="1" count="1">
    <dataValidation type="list" allowBlank="1" showInputMessage="1" showErrorMessage="1" sqref="B11:B13" xr:uid="{00000000-0002-0000-0500-000000000000}">
      <formula1>$AJ$199:$AJ$208</formula1>
    </dataValidation>
  </dataValidations>
  <pageMargins left="0.7" right="0.7" top="0.75" bottom="0.75" header="0.3" footer="0.3"/>
  <pageSetup scale="25" orientation="landscape"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4" tint="0.39997558519241921"/>
  </sheetPr>
  <dimension ref="A1:AG126"/>
  <sheetViews>
    <sheetView topLeftCell="U1" zoomScale="60" zoomScaleNormal="60" workbookViewId="0">
      <selection activeCell="A17" sqref="A17:XFD86"/>
    </sheetView>
  </sheetViews>
  <sheetFormatPr defaultColWidth="9.140625" defaultRowHeight="14.25" x14ac:dyDescent="0.2"/>
  <cols>
    <col min="1" max="1" width="8.7109375" style="67" customWidth="1"/>
    <col min="2" max="2" width="16.85546875" style="67" bestFit="1" customWidth="1"/>
    <col min="3" max="3" width="19.42578125" style="67" bestFit="1" customWidth="1"/>
    <col min="4" max="4" width="37.28515625" style="67" bestFit="1" customWidth="1"/>
    <col min="5" max="5" width="34.85546875" style="67" customWidth="1"/>
    <col min="6" max="6" width="24.42578125" style="68" bestFit="1" customWidth="1"/>
    <col min="7" max="7" width="23" style="69" bestFit="1" customWidth="1"/>
    <col min="8" max="8" width="31.5703125" style="69" customWidth="1"/>
    <col min="9" max="9" width="29.140625" style="69" customWidth="1"/>
    <col min="10" max="10" width="41.7109375" style="69" customWidth="1"/>
    <col min="11" max="11" width="32.7109375" style="70" bestFit="1" customWidth="1"/>
    <col min="12" max="12" width="7.7109375" style="70" bestFit="1" customWidth="1"/>
    <col min="13" max="13" width="25.5703125" style="70" bestFit="1" customWidth="1"/>
    <col min="14" max="14" width="27" style="71" bestFit="1" customWidth="1"/>
    <col min="15" max="15" width="16.5703125" style="71" bestFit="1" customWidth="1"/>
    <col min="16" max="17" width="16.5703125" style="71" customWidth="1"/>
    <col min="18" max="18" width="19.85546875" style="71" bestFit="1" customWidth="1"/>
    <col min="19" max="19" width="16.85546875" style="67" bestFit="1" customWidth="1"/>
    <col min="20" max="20" width="14.85546875" style="67" bestFit="1" customWidth="1"/>
    <col min="21" max="21" width="12.7109375" style="67" bestFit="1" customWidth="1"/>
    <col min="22" max="22" width="27" style="67" bestFit="1" customWidth="1"/>
    <col min="23" max="27" width="25" style="67" customWidth="1"/>
    <col min="28" max="28" width="22" style="67" customWidth="1"/>
    <col min="29" max="29" width="27.85546875" style="67" customWidth="1"/>
    <col min="30" max="30" width="19.28515625" style="67" customWidth="1"/>
    <col min="31" max="31" width="10.42578125" style="67" customWidth="1"/>
    <col min="32" max="32" width="14.140625" style="67" customWidth="1"/>
    <col min="33" max="16384" width="9.140625" style="67"/>
  </cols>
  <sheetData>
    <row r="1" spans="1:33" ht="15.75" customHeight="1" thickTop="1" thickBot="1" x14ac:dyDescent="0.45">
      <c r="A1" s="55"/>
      <c r="B1" s="56"/>
      <c r="C1" s="56"/>
      <c r="D1" s="56"/>
      <c r="E1" s="56"/>
      <c r="F1" s="56"/>
      <c r="G1" s="56"/>
      <c r="H1" s="56"/>
      <c r="I1" s="56"/>
      <c r="J1" s="56"/>
      <c r="K1" s="56"/>
      <c r="L1" s="56"/>
      <c r="M1" s="56"/>
      <c r="N1" s="56"/>
      <c r="O1" s="56"/>
      <c r="P1" s="56"/>
      <c r="Q1" s="56"/>
      <c r="R1" s="56"/>
      <c r="S1" s="56"/>
      <c r="T1" s="91"/>
      <c r="U1" s="91"/>
      <c r="V1" s="91"/>
      <c r="W1" s="91"/>
      <c r="X1" s="91"/>
      <c r="Y1" s="91"/>
      <c r="Z1" s="91"/>
      <c r="AA1" s="91"/>
      <c r="AB1" s="91"/>
      <c r="AC1" s="91"/>
      <c r="AD1" s="91"/>
      <c r="AE1" s="91"/>
      <c r="AF1" s="91"/>
      <c r="AG1" s="92"/>
    </row>
    <row r="2" spans="1:33" ht="15" customHeight="1" x14ac:dyDescent="0.25">
      <c r="A2" s="57"/>
      <c r="B2" s="505" t="str">
        <f>IF('Stage Generator'!F19="","",'Stage Generator'!F19&amp;" Well Summary")</f>
        <v/>
      </c>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7"/>
      <c r="AG2" s="77"/>
    </row>
    <row r="3" spans="1:33" ht="15" customHeight="1" x14ac:dyDescent="0.25">
      <c r="A3" s="57"/>
      <c r="B3" s="508"/>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10"/>
      <c r="AG3" s="77"/>
    </row>
    <row r="4" spans="1:33" ht="15" customHeight="1" x14ac:dyDescent="0.25">
      <c r="A4" s="57"/>
      <c r="B4" s="508"/>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10"/>
      <c r="AG4" s="77"/>
    </row>
    <row r="5" spans="1:33" ht="15" customHeight="1" x14ac:dyDescent="0.25">
      <c r="A5" s="57"/>
      <c r="B5" s="508"/>
      <c r="C5" s="509"/>
      <c r="D5" s="509"/>
      <c r="E5" s="509"/>
      <c r="F5" s="509"/>
      <c r="G5" s="509"/>
      <c r="H5" s="509"/>
      <c r="I5" s="509"/>
      <c r="J5" s="509"/>
      <c r="K5" s="509"/>
      <c r="L5" s="509"/>
      <c r="M5" s="509"/>
      <c r="N5" s="509"/>
      <c r="O5" s="509"/>
      <c r="P5" s="509"/>
      <c r="Q5" s="509"/>
      <c r="R5" s="509"/>
      <c r="S5" s="509"/>
      <c r="T5" s="509"/>
      <c r="U5" s="509"/>
      <c r="V5" s="509"/>
      <c r="W5" s="509"/>
      <c r="X5" s="509"/>
      <c r="Y5" s="509"/>
      <c r="Z5" s="509"/>
      <c r="AA5" s="509"/>
      <c r="AB5" s="509"/>
      <c r="AC5" s="509"/>
      <c r="AD5" s="509"/>
      <c r="AE5" s="509"/>
      <c r="AF5" s="510"/>
      <c r="AG5" s="77"/>
    </row>
    <row r="6" spans="1:33" ht="15.75" customHeight="1" thickBot="1" x14ac:dyDescent="0.3">
      <c r="A6" s="58"/>
      <c r="B6" s="511"/>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3"/>
      <c r="AG6" s="77"/>
    </row>
    <row r="7" spans="1:33" ht="16.5" customHeight="1" x14ac:dyDescent="0.2">
      <c r="A7" s="59"/>
      <c r="B7" s="52"/>
      <c r="C7" s="52"/>
      <c r="D7" s="52"/>
      <c r="E7" s="52"/>
      <c r="F7" s="52"/>
      <c r="G7" s="52"/>
      <c r="H7" s="52"/>
      <c r="I7" s="52"/>
      <c r="J7" s="52"/>
      <c r="K7" s="52"/>
      <c r="L7" s="52"/>
      <c r="M7" s="52"/>
      <c r="N7" s="52"/>
      <c r="O7" s="52"/>
      <c r="P7" s="52"/>
      <c r="Q7" s="52"/>
      <c r="R7" s="52"/>
      <c r="S7" s="52"/>
      <c r="T7" s="76"/>
      <c r="U7" s="76"/>
      <c r="V7" s="76"/>
      <c r="W7" s="76"/>
      <c r="X7" s="76"/>
      <c r="Y7" s="76"/>
      <c r="Z7" s="76"/>
      <c r="AA7" s="76"/>
      <c r="AB7" s="76"/>
      <c r="AC7" s="76"/>
      <c r="AD7" s="76"/>
      <c r="AE7" s="76"/>
      <c r="AF7" s="76"/>
      <c r="AG7" s="77"/>
    </row>
    <row r="8" spans="1:33" ht="15.75" thickBot="1" x14ac:dyDescent="0.25">
      <c r="A8" s="59"/>
      <c r="B8" s="72"/>
      <c r="C8" s="72"/>
      <c r="D8" s="72"/>
      <c r="E8" s="72"/>
      <c r="F8" s="73"/>
      <c r="G8" s="74"/>
      <c r="H8" s="74"/>
      <c r="I8" s="74"/>
      <c r="J8" s="74"/>
      <c r="K8" s="75"/>
      <c r="L8" s="75"/>
      <c r="M8" s="75"/>
      <c r="N8" s="76"/>
      <c r="O8" s="76"/>
      <c r="P8" s="76"/>
      <c r="Q8" s="76"/>
      <c r="R8" s="76"/>
      <c r="S8" s="76"/>
      <c r="T8" s="76"/>
      <c r="U8" s="76"/>
      <c r="V8" s="76"/>
      <c r="W8" s="76"/>
      <c r="X8" s="76"/>
      <c r="Y8" s="76"/>
      <c r="Z8" s="76"/>
      <c r="AA8" s="76"/>
      <c r="AB8" s="76"/>
      <c r="AC8" s="76"/>
      <c r="AD8" s="76"/>
      <c r="AE8" s="76"/>
      <c r="AF8" s="76"/>
      <c r="AG8" s="77"/>
    </row>
    <row r="9" spans="1:33" ht="16.5" thickBot="1" x14ac:dyDescent="0.3">
      <c r="A9" s="59"/>
      <c r="B9" s="17" t="s">
        <v>0</v>
      </c>
      <c r="C9" s="136"/>
      <c r="D9" s="35"/>
      <c r="E9" s="35"/>
      <c r="F9" s="35"/>
      <c r="G9" s="35"/>
      <c r="H9" s="35"/>
      <c r="I9" s="35"/>
      <c r="J9" s="74"/>
      <c r="K9" s="75"/>
      <c r="L9" s="75"/>
      <c r="M9" s="75"/>
      <c r="N9" s="76"/>
      <c r="O9" s="76"/>
      <c r="P9" s="76"/>
      <c r="Q9" s="76"/>
      <c r="R9" s="76"/>
      <c r="S9" s="76"/>
      <c r="T9" s="76"/>
      <c r="U9" s="76"/>
      <c r="V9" s="76"/>
      <c r="W9" s="76"/>
      <c r="X9" s="76"/>
      <c r="Y9" s="76"/>
      <c r="Z9" s="76"/>
      <c r="AA9" s="76"/>
      <c r="AB9" s="76"/>
      <c r="AC9" s="76"/>
      <c r="AD9" s="76"/>
      <c r="AE9" s="76"/>
      <c r="AF9" s="76"/>
      <c r="AG9" s="77"/>
    </row>
    <row r="10" spans="1:33" ht="16.5" thickBot="1" x14ac:dyDescent="0.3">
      <c r="A10" s="59"/>
      <c r="B10" s="16" t="s">
        <v>25</v>
      </c>
      <c r="C10" s="18" t="s">
        <v>42</v>
      </c>
      <c r="D10" s="19" t="s">
        <v>43</v>
      </c>
      <c r="E10" s="20" t="s">
        <v>44</v>
      </c>
      <c r="F10" s="20" t="s">
        <v>45</v>
      </c>
      <c r="G10" s="21" t="s">
        <v>46</v>
      </c>
      <c r="H10" s="74"/>
      <c r="I10" s="74"/>
      <c r="J10" s="74"/>
      <c r="K10" s="75"/>
      <c r="L10" s="75"/>
      <c r="M10" s="75"/>
      <c r="N10" s="76"/>
      <c r="O10" s="76"/>
      <c r="P10" s="76"/>
      <c r="Q10" s="76"/>
      <c r="R10" s="76"/>
      <c r="S10" s="76"/>
      <c r="T10" s="76"/>
      <c r="U10" s="76"/>
      <c r="V10" s="76"/>
      <c r="W10" s="76"/>
      <c r="X10" s="76"/>
      <c r="Y10" s="76"/>
      <c r="Z10" s="76"/>
      <c r="AA10" s="76"/>
      <c r="AB10" s="76"/>
      <c r="AC10" s="76"/>
      <c r="AD10" s="76"/>
      <c r="AE10" s="76"/>
      <c r="AF10" s="76"/>
      <c r="AG10" s="77"/>
    </row>
    <row r="11" spans="1:33" ht="16.5" thickBot="1" x14ac:dyDescent="0.25">
      <c r="A11" s="59"/>
      <c r="B11" s="128" t="s">
        <v>9</v>
      </c>
      <c r="C11" s="132"/>
      <c r="D11" s="121"/>
      <c r="E11" s="133"/>
      <c r="F11" s="150"/>
      <c r="G11" s="15"/>
      <c r="H11" s="35"/>
      <c r="I11" s="35"/>
      <c r="J11" s="74"/>
      <c r="K11" s="75"/>
      <c r="L11" s="75"/>
      <c r="M11" s="75"/>
      <c r="N11" s="76"/>
      <c r="O11" s="76"/>
      <c r="P11" s="76"/>
      <c r="Q11" s="76"/>
      <c r="R11" s="76"/>
      <c r="S11" s="76"/>
      <c r="T11" s="76"/>
      <c r="U11" s="76"/>
      <c r="V11" s="76"/>
      <c r="W11" s="76"/>
      <c r="X11" s="76"/>
      <c r="Y11" s="76"/>
      <c r="Z11" s="76"/>
      <c r="AA11" s="76"/>
      <c r="AB11" s="76"/>
      <c r="AC11" s="76"/>
      <c r="AD11" s="76"/>
      <c r="AE11" s="76"/>
      <c r="AF11" s="76"/>
      <c r="AG11" s="77"/>
    </row>
    <row r="12" spans="1:33" ht="16.5" thickBot="1" x14ac:dyDescent="0.25">
      <c r="A12" s="59"/>
      <c r="B12" s="128" t="s">
        <v>40</v>
      </c>
      <c r="C12" s="132"/>
      <c r="D12" s="121"/>
      <c r="E12" s="121"/>
      <c r="F12" s="150"/>
      <c r="G12" s="150"/>
      <c r="H12" s="74"/>
      <c r="I12" s="74"/>
      <c r="J12" s="74"/>
      <c r="K12" s="75"/>
      <c r="L12" s="75"/>
      <c r="M12" s="75"/>
      <c r="N12" s="76"/>
      <c r="O12" s="76"/>
      <c r="P12" s="76"/>
      <c r="Q12" s="76"/>
      <c r="R12" s="76"/>
      <c r="S12" s="76"/>
      <c r="T12" s="76"/>
      <c r="U12" s="76"/>
      <c r="V12" s="76"/>
      <c r="W12" s="76"/>
      <c r="X12" s="76"/>
      <c r="Y12" s="76"/>
      <c r="Z12" s="76"/>
      <c r="AA12" s="76"/>
      <c r="AB12" s="76"/>
      <c r="AC12" s="76"/>
      <c r="AD12" s="76"/>
      <c r="AE12" s="76"/>
      <c r="AF12" s="76"/>
      <c r="AG12" s="77"/>
    </row>
    <row r="13" spans="1:33" ht="16.5" thickBot="1" x14ac:dyDescent="0.25">
      <c r="A13" s="59"/>
      <c r="B13" s="129" t="s">
        <v>41</v>
      </c>
      <c r="C13" s="134"/>
      <c r="D13" s="135"/>
      <c r="E13" s="131"/>
      <c r="F13" s="151"/>
      <c r="G13" s="151"/>
      <c r="H13" s="35"/>
      <c r="I13" s="35"/>
      <c r="J13" s="74"/>
      <c r="K13" s="75"/>
      <c r="L13" s="75"/>
      <c r="M13" s="75"/>
      <c r="N13" s="76"/>
      <c r="O13" s="76"/>
      <c r="P13" s="76"/>
      <c r="Q13" s="76"/>
      <c r="R13" s="76"/>
      <c r="S13" s="76"/>
      <c r="T13" s="76"/>
      <c r="U13" s="76"/>
      <c r="V13" s="76"/>
      <c r="W13" s="76"/>
      <c r="X13" s="76"/>
      <c r="Y13" s="76"/>
      <c r="Z13" s="76"/>
      <c r="AA13" s="76"/>
      <c r="AB13" s="76"/>
      <c r="AC13" s="76"/>
      <c r="AD13" s="76"/>
      <c r="AE13" s="76"/>
      <c r="AF13" s="76"/>
      <c r="AG13" s="77"/>
    </row>
    <row r="14" spans="1:33" ht="15" x14ac:dyDescent="0.2">
      <c r="A14" s="59"/>
      <c r="B14" s="72"/>
      <c r="C14" s="72"/>
      <c r="D14" s="72"/>
      <c r="E14" s="72"/>
      <c r="F14" s="73"/>
      <c r="G14" s="74"/>
      <c r="H14" s="74"/>
      <c r="I14" s="74"/>
      <c r="J14" s="74"/>
      <c r="K14" s="75"/>
      <c r="L14" s="75"/>
      <c r="M14" s="75"/>
      <c r="N14" s="76"/>
      <c r="O14" s="76"/>
      <c r="P14" s="76"/>
      <c r="Q14" s="76"/>
      <c r="R14" s="76"/>
      <c r="S14" s="76"/>
      <c r="T14" s="76"/>
      <c r="U14" s="76"/>
      <c r="V14" s="76"/>
      <c r="W14" s="76"/>
      <c r="X14" s="76"/>
      <c r="Y14" s="76"/>
      <c r="Z14" s="76"/>
      <c r="AA14" s="76"/>
      <c r="AB14" s="76"/>
      <c r="AC14" s="76"/>
      <c r="AD14" s="76"/>
      <c r="AE14" s="76"/>
      <c r="AF14" s="76"/>
      <c r="AG14" s="77"/>
    </row>
    <row r="15" spans="1:33" ht="15" x14ac:dyDescent="0.2">
      <c r="A15" s="59"/>
      <c r="B15" s="72"/>
      <c r="C15" s="72"/>
      <c r="D15" s="72"/>
      <c r="E15" s="72"/>
      <c r="F15" s="73"/>
      <c r="G15" s="74"/>
      <c r="H15" s="74"/>
      <c r="I15" s="74"/>
      <c r="J15" s="74"/>
      <c r="K15" s="75"/>
      <c r="L15" s="75"/>
      <c r="M15" s="75"/>
      <c r="N15" s="76"/>
      <c r="O15" s="76"/>
      <c r="P15" s="76"/>
      <c r="Q15" s="76"/>
      <c r="R15" s="76"/>
      <c r="S15" s="76"/>
      <c r="T15" s="76"/>
      <c r="U15" s="76"/>
      <c r="V15" s="76"/>
      <c r="W15" s="76"/>
      <c r="X15" s="76"/>
      <c r="Y15" s="76"/>
      <c r="Z15" s="76"/>
      <c r="AA15" s="76"/>
      <c r="AB15" s="76"/>
      <c r="AC15" s="76"/>
      <c r="AD15" s="76"/>
      <c r="AE15" s="76"/>
      <c r="AF15" s="76"/>
      <c r="AG15" s="77"/>
    </row>
    <row r="16" spans="1:33" ht="15.75" thickBot="1" x14ac:dyDescent="0.25">
      <c r="A16" s="59"/>
      <c r="B16" s="72"/>
      <c r="C16" s="72"/>
      <c r="D16" s="72"/>
      <c r="E16" s="72"/>
      <c r="F16" s="73"/>
      <c r="G16" s="74"/>
      <c r="H16" s="74"/>
      <c r="I16" s="74"/>
      <c r="J16" s="74"/>
      <c r="K16" s="75"/>
      <c r="L16" s="75"/>
      <c r="M16" s="75"/>
      <c r="N16" s="76"/>
      <c r="O16" s="76"/>
      <c r="P16" s="76"/>
      <c r="Q16" s="76"/>
      <c r="R16" s="76"/>
      <c r="S16" s="76"/>
      <c r="T16" s="76"/>
      <c r="U16" s="76"/>
      <c r="V16" s="76"/>
      <c r="W16" s="76"/>
      <c r="X16" s="76"/>
      <c r="Y16" s="76"/>
      <c r="Z16" s="76"/>
      <c r="AA16" s="76"/>
      <c r="AB16" s="72"/>
      <c r="AC16" s="72"/>
      <c r="AD16" s="72"/>
      <c r="AE16" s="72"/>
      <c r="AF16" s="72"/>
      <c r="AG16" s="93"/>
    </row>
    <row r="17" spans="1:33" s="83" customFormat="1" ht="15.75" x14ac:dyDescent="0.25">
      <c r="A17" s="82"/>
      <c r="B17" s="97" t="s">
        <v>144</v>
      </c>
      <c r="C17" s="97" t="s">
        <v>10</v>
      </c>
      <c r="D17" s="97" t="s">
        <v>148</v>
      </c>
      <c r="E17" s="97" t="s">
        <v>147</v>
      </c>
      <c r="F17" s="98" t="s">
        <v>145</v>
      </c>
      <c r="G17" s="99" t="s">
        <v>149</v>
      </c>
      <c r="H17" s="99" t="s">
        <v>180</v>
      </c>
      <c r="I17" s="99" t="s">
        <v>181</v>
      </c>
      <c r="J17" s="221" t="s">
        <v>190</v>
      </c>
      <c r="K17" s="100" t="s">
        <v>150</v>
      </c>
      <c r="L17" s="100" t="s">
        <v>152</v>
      </c>
      <c r="M17" s="100" t="s">
        <v>153</v>
      </c>
      <c r="N17" s="101" t="s">
        <v>185</v>
      </c>
      <c r="O17" s="101" t="str">
        <f>IF(Template!H30 = "","Total Sand",Template!H30)</f>
        <v>Total Sand</v>
      </c>
      <c r="P17" s="101" t="str">
        <f>IF(Template!H35 = "","Total Sand",Template!H35)</f>
        <v>Total Sand</v>
      </c>
      <c r="Q17" s="101" t="str">
        <f>IF(Template!H40 = "","Total Sand",Template!H40)</f>
        <v>Total Sand</v>
      </c>
      <c r="R17" s="101" t="s">
        <v>155</v>
      </c>
      <c r="S17" s="97" t="s">
        <v>158</v>
      </c>
      <c r="T17" s="97" t="s">
        <v>193</v>
      </c>
      <c r="U17" s="97" t="s">
        <v>194</v>
      </c>
      <c r="V17" s="97" t="s">
        <v>196</v>
      </c>
      <c r="W17" s="101" t="s">
        <v>191</v>
      </c>
      <c r="X17" s="101" t="s">
        <v>162</v>
      </c>
      <c r="Y17" s="101" t="s">
        <v>163</v>
      </c>
      <c r="Z17" s="101" t="s">
        <v>168</v>
      </c>
      <c r="AA17" s="97" t="s">
        <v>102</v>
      </c>
      <c r="AB17" s="97" t="s">
        <v>169</v>
      </c>
      <c r="AC17" s="97" t="s">
        <v>103</v>
      </c>
      <c r="AD17" s="97" t="s">
        <v>170</v>
      </c>
      <c r="AE17" s="97" t="s">
        <v>165</v>
      </c>
      <c r="AF17" s="97" t="s">
        <v>197</v>
      </c>
      <c r="AG17" s="94"/>
    </row>
    <row r="18" spans="1:33" s="83" customFormat="1" ht="16.5" thickBot="1" x14ac:dyDescent="0.3">
      <c r="A18" s="82"/>
      <c r="B18" s="102" t="s">
        <v>157</v>
      </c>
      <c r="C18" s="103" t="s">
        <v>156</v>
      </c>
      <c r="D18" s="104" t="s">
        <v>146</v>
      </c>
      <c r="E18" s="105" t="s">
        <v>146</v>
      </c>
      <c r="F18" s="105" t="s">
        <v>146</v>
      </c>
      <c r="G18" s="105" t="s">
        <v>146</v>
      </c>
      <c r="H18" s="105" t="s">
        <v>146</v>
      </c>
      <c r="I18" s="105" t="s">
        <v>146</v>
      </c>
      <c r="J18" s="105" t="s">
        <v>146</v>
      </c>
      <c r="K18" s="106" t="s">
        <v>151</v>
      </c>
      <c r="L18" s="106" t="s">
        <v>151</v>
      </c>
      <c r="M18" s="106" t="s">
        <v>98</v>
      </c>
      <c r="N18" s="106" t="s">
        <v>98</v>
      </c>
      <c r="O18" s="106" t="s">
        <v>154</v>
      </c>
      <c r="P18" s="106" t="s">
        <v>154</v>
      </c>
      <c r="Q18" s="106" t="s">
        <v>154</v>
      </c>
      <c r="R18" s="106" t="s">
        <v>98</v>
      </c>
      <c r="S18" s="106" t="s">
        <v>159</v>
      </c>
      <c r="T18" s="106" t="s">
        <v>195</v>
      </c>
      <c r="U18" s="106" t="s">
        <v>195</v>
      </c>
      <c r="V18" s="106" t="s">
        <v>143</v>
      </c>
      <c r="W18" s="106" t="s">
        <v>161</v>
      </c>
      <c r="X18" s="106" t="s">
        <v>143</v>
      </c>
      <c r="Y18" s="106" t="s">
        <v>164</v>
      </c>
      <c r="Z18" s="106" t="s">
        <v>98</v>
      </c>
      <c r="AA18" s="102" t="s">
        <v>164</v>
      </c>
      <c r="AB18" s="102" t="s">
        <v>98</v>
      </c>
      <c r="AC18" s="102" t="s">
        <v>164</v>
      </c>
      <c r="AD18" s="102" t="s">
        <v>98</v>
      </c>
      <c r="AE18" s="102" t="s">
        <v>166</v>
      </c>
      <c r="AF18" s="102" t="s">
        <v>98</v>
      </c>
      <c r="AG18" s="94"/>
    </row>
    <row r="19" spans="1:33" s="88" customFormat="1" ht="15" x14ac:dyDescent="0.2">
      <c r="A19" s="59"/>
      <c r="B19" s="112"/>
      <c r="C19" s="119"/>
      <c r="D19" s="137"/>
      <c r="E19" s="137"/>
      <c r="F19" s="137"/>
      <c r="G19" s="137"/>
      <c r="H19" s="137"/>
      <c r="I19" s="137"/>
      <c r="J19" s="138" t="str">
        <f>IF(OR(H19="",G19=""),"",H19-G19)</f>
        <v/>
      </c>
      <c r="K19" s="140"/>
      <c r="L19" s="140"/>
      <c r="M19" s="143"/>
      <c r="N19" s="143"/>
      <c r="O19" s="143"/>
      <c r="P19" s="143"/>
      <c r="Q19" s="143"/>
      <c r="R19" s="143"/>
      <c r="S19" s="146"/>
      <c r="T19" s="146"/>
      <c r="U19" s="146"/>
      <c r="V19" s="146"/>
      <c r="W19" s="113"/>
      <c r="X19" s="113"/>
      <c r="Y19" s="113"/>
      <c r="Z19" s="143"/>
      <c r="AA19" s="112"/>
      <c r="AB19" s="143"/>
      <c r="AC19" s="112"/>
      <c r="AD19" s="143"/>
      <c r="AE19" s="143"/>
      <c r="AF19" s="112"/>
      <c r="AG19" s="60"/>
    </row>
    <row r="20" spans="1:33" s="88" customFormat="1" ht="15.75" customHeight="1" x14ac:dyDescent="0.2">
      <c r="A20" s="59"/>
      <c r="B20" s="114"/>
      <c r="C20" s="120"/>
      <c r="D20" s="138"/>
      <c r="E20" s="138"/>
      <c r="F20" s="138"/>
      <c r="G20" s="138"/>
      <c r="H20" s="138"/>
      <c r="I20" s="138"/>
      <c r="J20" s="138" t="str">
        <f>IF(OR(H20="",G20=""),"",H20-G20)</f>
        <v/>
      </c>
      <c r="K20" s="141"/>
      <c r="L20" s="141"/>
      <c r="M20" s="144"/>
      <c r="N20" s="144"/>
      <c r="O20" s="144"/>
      <c r="P20" s="144"/>
      <c r="Q20" s="144"/>
      <c r="R20" s="144"/>
      <c r="S20" s="147"/>
      <c r="T20" s="147"/>
      <c r="U20" s="147"/>
      <c r="V20" s="147"/>
      <c r="W20" s="115"/>
      <c r="X20" s="115"/>
      <c r="Y20" s="115"/>
      <c r="Z20" s="144"/>
      <c r="AA20" s="114"/>
      <c r="AB20" s="144"/>
      <c r="AC20" s="114"/>
      <c r="AD20" s="144"/>
      <c r="AE20" s="144"/>
      <c r="AF20" s="114"/>
      <c r="AG20" s="60"/>
    </row>
    <row r="21" spans="1:33" s="88" customFormat="1" ht="15" x14ac:dyDescent="0.2">
      <c r="A21" s="59"/>
      <c r="B21" s="114"/>
      <c r="C21" s="114"/>
      <c r="D21" s="138"/>
      <c r="E21" s="138"/>
      <c r="F21" s="138"/>
      <c r="G21" s="138"/>
      <c r="H21" s="138"/>
      <c r="I21" s="138"/>
      <c r="J21" s="138" t="str">
        <f t="shared" ref="J21:J84" si="0">IF(OR(H21="",G21=""),"",H21-G21)</f>
        <v/>
      </c>
      <c r="K21" s="141"/>
      <c r="L21" s="141"/>
      <c r="M21" s="144"/>
      <c r="N21" s="144"/>
      <c r="O21" s="144"/>
      <c r="P21" s="144"/>
      <c r="Q21" s="144"/>
      <c r="R21" s="144"/>
      <c r="S21" s="147"/>
      <c r="T21" s="147"/>
      <c r="U21" s="147"/>
      <c r="V21" s="147"/>
      <c r="W21" s="115"/>
      <c r="X21" s="115"/>
      <c r="Y21" s="115"/>
      <c r="Z21" s="144"/>
      <c r="AA21" s="114"/>
      <c r="AB21" s="144"/>
      <c r="AC21" s="114"/>
      <c r="AD21" s="144"/>
      <c r="AE21" s="144"/>
      <c r="AF21" s="114"/>
      <c r="AG21" s="60"/>
    </row>
    <row r="22" spans="1:33" s="88" customFormat="1" ht="15" x14ac:dyDescent="0.2">
      <c r="A22" s="59"/>
      <c r="B22" s="114"/>
      <c r="C22" s="114"/>
      <c r="D22" s="138"/>
      <c r="E22" s="138"/>
      <c r="F22" s="138"/>
      <c r="G22" s="138"/>
      <c r="H22" s="138"/>
      <c r="I22" s="138"/>
      <c r="J22" s="138" t="str">
        <f t="shared" si="0"/>
        <v/>
      </c>
      <c r="K22" s="141"/>
      <c r="L22" s="141"/>
      <c r="M22" s="144"/>
      <c r="N22" s="144"/>
      <c r="O22" s="144"/>
      <c r="P22" s="144"/>
      <c r="Q22" s="144"/>
      <c r="R22" s="144"/>
      <c r="S22" s="147"/>
      <c r="T22" s="147"/>
      <c r="U22" s="147"/>
      <c r="V22" s="147"/>
      <c r="W22" s="115"/>
      <c r="X22" s="115"/>
      <c r="Y22" s="115"/>
      <c r="Z22" s="144"/>
      <c r="AA22" s="114"/>
      <c r="AB22" s="144"/>
      <c r="AC22" s="114"/>
      <c r="AD22" s="144"/>
      <c r="AE22" s="144"/>
      <c r="AF22" s="114"/>
      <c r="AG22" s="60"/>
    </row>
    <row r="23" spans="1:33" s="88" customFormat="1" ht="15" x14ac:dyDescent="0.2">
      <c r="A23" s="59"/>
      <c r="B23" s="114"/>
      <c r="C23" s="114"/>
      <c r="D23" s="138"/>
      <c r="E23" s="138"/>
      <c r="F23" s="138"/>
      <c r="G23" s="138"/>
      <c r="H23" s="138"/>
      <c r="I23" s="138"/>
      <c r="J23" s="138" t="str">
        <f t="shared" si="0"/>
        <v/>
      </c>
      <c r="K23" s="141"/>
      <c r="L23" s="141"/>
      <c r="M23" s="144"/>
      <c r="N23" s="144"/>
      <c r="O23" s="144"/>
      <c r="P23" s="144"/>
      <c r="Q23" s="144"/>
      <c r="R23" s="144"/>
      <c r="S23" s="147"/>
      <c r="T23" s="147"/>
      <c r="U23" s="147"/>
      <c r="V23" s="147"/>
      <c r="W23" s="115"/>
      <c r="X23" s="115"/>
      <c r="Y23" s="115"/>
      <c r="Z23" s="144"/>
      <c r="AA23" s="114"/>
      <c r="AB23" s="144"/>
      <c r="AC23" s="114"/>
      <c r="AD23" s="144"/>
      <c r="AE23" s="144"/>
      <c r="AF23" s="114"/>
      <c r="AG23" s="60"/>
    </row>
    <row r="24" spans="1:33" s="88" customFormat="1" ht="15" x14ac:dyDescent="0.2">
      <c r="A24" s="59"/>
      <c r="B24" s="114"/>
      <c r="C24" s="114"/>
      <c r="D24" s="138"/>
      <c r="E24" s="138"/>
      <c r="F24" s="138"/>
      <c r="G24" s="138"/>
      <c r="H24" s="138"/>
      <c r="I24" s="138"/>
      <c r="J24" s="138" t="str">
        <f t="shared" si="0"/>
        <v/>
      </c>
      <c r="K24" s="141"/>
      <c r="L24" s="141"/>
      <c r="M24" s="144"/>
      <c r="N24" s="144"/>
      <c r="O24" s="144"/>
      <c r="P24" s="144"/>
      <c r="Q24" s="144"/>
      <c r="R24" s="144"/>
      <c r="S24" s="147"/>
      <c r="T24" s="147"/>
      <c r="U24" s="147"/>
      <c r="V24" s="147"/>
      <c r="W24" s="115"/>
      <c r="X24" s="115"/>
      <c r="Y24" s="115"/>
      <c r="Z24" s="144"/>
      <c r="AA24" s="114"/>
      <c r="AB24" s="144"/>
      <c r="AC24" s="114"/>
      <c r="AD24" s="144"/>
      <c r="AE24" s="144"/>
      <c r="AF24" s="114"/>
      <c r="AG24" s="60"/>
    </row>
    <row r="25" spans="1:33" s="88" customFormat="1" ht="15" x14ac:dyDescent="0.2">
      <c r="A25" s="59"/>
      <c r="B25" s="114"/>
      <c r="C25" s="114"/>
      <c r="D25" s="138"/>
      <c r="E25" s="138"/>
      <c r="F25" s="138"/>
      <c r="G25" s="138"/>
      <c r="H25" s="138"/>
      <c r="I25" s="138"/>
      <c r="J25" s="138" t="str">
        <f t="shared" si="0"/>
        <v/>
      </c>
      <c r="K25" s="141"/>
      <c r="L25" s="141"/>
      <c r="M25" s="144"/>
      <c r="N25" s="144"/>
      <c r="O25" s="144"/>
      <c r="P25" s="144"/>
      <c r="Q25" s="144"/>
      <c r="R25" s="144"/>
      <c r="S25" s="147"/>
      <c r="T25" s="147"/>
      <c r="U25" s="147"/>
      <c r="V25" s="147"/>
      <c r="W25" s="115"/>
      <c r="X25" s="115"/>
      <c r="Y25" s="115"/>
      <c r="Z25" s="144"/>
      <c r="AA25" s="114"/>
      <c r="AB25" s="144"/>
      <c r="AC25" s="114"/>
      <c r="AD25" s="144"/>
      <c r="AE25" s="144"/>
      <c r="AF25" s="114"/>
      <c r="AG25" s="60"/>
    </row>
    <row r="26" spans="1:33" s="88" customFormat="1" ht="15" x14ac:dyDescent="0.2">
      <c r="A26" s="59"/>
      <c r="B26" s="114"/>
      <c r="C26" s="114"/>
      <c r="D26" s="138"/>
      <c r="E26" s="138"/>
      <c r="F26" s="138"/>
      <c r="G26" s="138"/>
      <c r="H26" s="138"/>
      <c r="I26" s="138"/>
      <c r="J26" s="138" t="str">
        <f t="shared" si="0"/>
        <v/>
      </c>
      <c r="K26" s="141"/>
      <c r="L26" s="141"/>
      <c r="M26" s="144"/>
      <c r="N26" s="144"/>
      <c r="O26" s="144"/>
      <c r="P26" s="144"/>
      <c r="Q26" s="144"/>
      <c r="R26" s="144"/>
      <c r="S26" s="147"/>
      <c r="T26" s="147"/>
      <c r="U26" s="147"/>
      <c r="V26" s="147"/>
      <c r="W26" s="115"/>
      <c r="X26" s="115"/>
      <c r="Y26" s="115"/>
      <c r="Z26" s="144"/>
      <c r="AA26" s="114"/>
      <c r="AB26" s="144"/>
      <c r="AC26" s="114"/>
      <c r="AD26" s="144"/>
      <c r="AE26" s="144"/>
      <c r="AF26" s="114"/>
      <c r="AG26" s="60"/>
    </row>
    <row r="27" spans="1:33" s="88" customFormat="1" ht="15" x14ac:dyDescent="0.2">
      <c r="A27" s="59"/>
      <c r="B27" s="114"/>
      <c r="C27" s="114"/>
      <c r="D27" s="138"/>
      <c r="E27" s="138"/>
      <c r="F27" s="138"/>
      <c r="G27" s="138"/>
      <c r="H27" s="138"/>
      <c r="I27" s="138"/>
      <c r="J27" s="138" t="str">
        <f t="shared" si="0"/>
        <v/>
      </c>
      <c r="K27" s="141"/>
      <c r="L27" s="141"/>
      <c r="M27" s="144"/>
      <c r="N27" s="144"/>
      <c r="O27" s="144"/>
      <c r="P27" s="144"/>
      <c r="Q27" s="144"/>
      <c r="R27" s="144"/>
      <c r="S27" s="147"/>
      <c r="T27" s="147"/>
      <c r="U27" s="147"/>
      <c r="V27" s="147"/>
      <c r="W27" s="115"/>
      <c r="X27" s="115"/>
      <c r="Y27" s="115"/>
      <c r="Z27" s="144"/>
      <c r="AA27" s="114"/>
      <c r="AB27" s="144"/>
      <c r="AC27" s="114"/>
      <c r="AD27" s="144"/>
      <c r="AE27" s="144"/>
      <c r="AF27" s="114"/>
      <c r="AG27" s="60"/>
    </row>
    <row r="28" spans="1:33" s="88" customFormat="1" ht="15" x14ac:dyDescent="0.2">
      <c r="A28" s="59"/>
      <c r="B28" s="114"/>
      <c r="C28" s="114"/>
      <c r="D28" s="138"/>
      <c r="E28" s="138"/>
      <c r="F28" s="138"/>
      <c r="G28" s="138"/>
      <c r="H28" s="138"/>
      <c r="I28" s="138"/>
      <c r="J28" s="138" t="str">
        <f t="shared" si="0"/>
        <v/>
      </c>
      <c r="K28" s="141"/>
      <c r="L28" s="141"/>
      <c r="M28" s="144"/>
      <c r="N28" s="144"/>
      <c r="O28" s="144"/>
      <c r="P28" s="144"/>
      <c r="Q28" s="144"/>
      <c r="R28" s="144"/>
      <c r="S28" s="147"/>
      <c r="T28" s="147"/>
      <c r="U28" s="147"/>
      <c r="V28" s="147"/>
      <c r="W28" s="115"/>
      <c r="X28" s="115"/>
      <c r="Y28" s="115"/>
      <c r="Z28" s="144"/>
      <c r="AA28" s="114"/>
      <c r="AB28" s="144"/>
      <c r="AC28" s="114"/>
      <c r="AD28" s="144"/>
      <c r="AE28" s="144"/>
      <c r="AF28" s="114"/>
      <c r="AG28" s="60"/>
    </row>
    <row r="29" spans="1:33" s="88" customFormat="1" ht="15" x14ac:dyDescent="0.2">
      <c r="A29" s="59"/>
      <c r="B29" s="114"/>
      <c r="C29" s="114"/>
      <c r="D29" s="138"/>
      <c r="E29" s="138"/>
      <c r="F29" s="138"/>
      <c r="G29" s="138"/>
      <c r="H29" s="138"/>
      <c r="I29" s="138"/>
      <c r="J29" s="138" t="str">
        <f t="shared" si="0"/>
        <v/>
      </c>
      <c r="K29" s="141"/>
      <c r="L29" s="141"/>
      <c r="M29" s="144"/>
      <c r="N29" s="144"/>
      <c r="O29" s="144"/>
      <c r="P29" s="144"/>
      <c r="Q29" s="144"/>
      <c r="R29" s="144"/>
      <c r="S29" s="147"/>
      <c r="T29" s="147"/>
      <c r="U29" s="147"/>
      <c r="V29" s="147"/>
      <c r="W29" s="115"/>
      <c r="X29" s="115"/>
      <c r="Y29" s="115"/>
      <c r="Z29" s="144"/>
      <c r="AA29" s="114"/>
      <c r="AB29" s="144"/>
      <c r="AC29" s="114"/>
      <c r="AD29" s="144"/>
      <c r="AE29" s="144"/>
      <c r="AF29" s="114"/>
      <c r="AG29" s="60"/>
    </row>
    <row r="30" spans="1:33" s="88" customFormat="1" ht="15" x14ac:dyDescent="0.2">
      <c r="A30" s="59"/>
      <c r="B30" s="114"/>
      <c r="C30" s="114"/>
      <c r="D30" s="138"/>
      <c r="E30" s="138"/>
      <c r="F30" s="138"/>
      <c r="G30" s="138"/>
      <c r="H30" s="138"/>
      <c r="I30" s="138"/>
      <c r="J30" s="138" t="str">
        <f t="shared" si="0"/>
        <v/>
      </c>
      <c r="K30" s="141"/>
      <c r="L30" s="141"/>
      <c r="M30" s="144"/>
      <c r="N30" s="144"/>
      <c r="O30" s="144"/>
      <c r="P30" s="144"/>
      <c r="Q30" s="144"/>
      <c r="R30" s="144"/>
      <c r="S30" s="147"/>
      <c r="T30" s="147"/>
      <c r="U30" s="147"/>
      <c r="V30" s="147"/>
      <c r="W30" s="115"/>
      <c r="X30" s="115"/>
      <c r="Y30" s="115"/>
      <c r="Z30" s="144"/>
      <c r="AA30" s="114"/>
      <c r="AB30" s="144"/>
      <c r="AC30" s="114"/>
      <c r="AD30" s="144"/>
      <c r="AE30" s="144"/>
      <c r="AF30" s="114"/>
      <c r="AG30" s="60"/>
    </row>
    <row r="31" spans="1:33" s="88" customFormat="1" ht="15" x14ac:dyDescent="0.2">
      <c r="A31" s="59"/>
      <c r="B31" s="114"/>
      <c r="C31" s="114"/>
      <c r="D31" s="138"/>
      <c r="E31" s="138"/>
      <c r="F31" s="138"/>
      <c r="G31" s="138"/>
      <c r="H31" s="138"/>
      <c r="I31" s="138"/>
      <c r="J31" s="138" t="str">
        <f t="shared" si="0"/>
        <v/>
      </c>
      <c r="K31" s="141"/>
      <c r="L31" s="141"/>
      <c r="M31" s="144"/>
      <c r="N31" s="144"/>
      <c r="O31" s="144"/>
      <c r="P31" s="144"/>
      <c r="Q31" s="144"/>
      <c r="R31" s="144"/>
      <c r="S31" s="147"/>
      <c r="T31" s="147"/>
      <c r="U31" s="147"/>
      <c r="V31" s="147"/>
      <c r="W31" s="115"/>
      <c r="X31" s="115"/>
      <c r="Y31" s="115"/>
      <c r="Z31" s="144"/>
      <c r="AA31" s="114"/>
      <c r="AB31" s="144"/>
      <c r="AC31" s="114"/>
      <c r="AD31" s="144"/>
      <c r="AE31" s="144"/>
      <c r="AF31" s="114"/>
      <c r="AG31" s="60"/>
    </row>
    <row r="32" spans="1:33" s="89" customFormat="1" ht="15" x14ac:dyDescent="0.2">
      <c r="A32" s="59"/>
      <c r="B32" s="114"/>
      <c r="C32" s="114"/>
      <c r="D32" s="138"/>
      <c r="E32" s="138"/>
      <c r="F32" s="138"/>
      <c r="G32" s="138"/>
      <c r="H32" s="138"/>
      <c r="I32" s="138"/>
      <c r="J32" s="138" t="str">
        <f t="shared" si="0"/>
        <v/>
      </c>
      <c r="K32" s="141"/>
      <c r="L32" s="141"/>
      <c r="M32" s="144"/>
      <c r="N32" s="144"/>
      <c r="O32" s="144"/>
      <c r="P32" s="144"/>
      <c r="Q32" s="144"/>
      <c r="R32" s="144"/>
      <c r="S32" s="147"/>
      <c r="T32" s="147"/>
      <c r="U32" s="147"/>
      <c r="V32" s="147"/>
      <c r="W32" s="115"/>
      <c r="X32" s="115"/>
      <c r="Y32" s="115"/>
      <c r="Z32" s="144"/>
      <c r="AA32" s="114"/>
      <c r="AB32" s="144"/>
      <c r="AC32" s="114"/>
      <c r="AD32" s="144"/>
      <c r="AE32" s="144"/>
      <c r="AF32" s="114"/>
      <c r="AG32" s="60"/>
    </row>
    <row r="33" spans="1:33" s="90" customFormat="1" ht="15.75" x14ac:dyDescent="0.2">
      <c r="A33" s="59"/>
      <c r="B33" s="114"/>
      <c r="C33" s="114"/>
      <c r="D33" s="138"/>
      <c r="E33" s="138"/>
      <c r="F33" s="138"/>
      <c r="G33" s="138"/>
      <c r="H33" s="138"/>
      <c r="I33" s="138"/>
      <c r="J33" s="138" t="str">
        <f t="shared" si="0"/>
        <v/>
      </c>
      <c r="K33" s="141"/>
      <c r="L33" s="141"/>
      <c r="M33" s="144"/>
      <c r="N33" s="144"/>
      <c r="O33" s="144"/>
      <c r="P33" s="144"/>
      <c r="Q33" s="144"/>
      <c r="R33" s="144"/>
      <c r="S33" s="147"/>
      <c r="T33" s="147"/>
      <c r="U33" s="147"/>
      <c r="V33" s="147"/>
      <c r="W33" s="115"/>
      <c r="X33" s="115"/>
      <c r="Y33" s="115"/>
      <c r="Z33" s="144"/>
      <c r="AA33" s="114"/>
      <c r="AB33" s="144"/>
      <c r="AC33" s="114"/>
      <c r="AD33" s="144"/>
      <c r="AE33" s="144"/>
      <c r="AF33" s="114"/>
      <c r="AG33" s="60"/>
    </row>
    <row r="34" spans="1:33" s="88" customFormat="1" ht="15" x14ac:dyDescent="0.2">
      <c r="A34" s="59"/>
      <c r="B34" s="114"/>
      <c r="C34" s="114"/>
      <c r="D34" s="138"/>
      <c r="E34" s="138"/>
      <c r="F34" s="138"/>
      <c r="G34" s="138"/>
      <c r="H34" s="138"/>
      <c r="I34" s="138"/>
      <c r="J34" s="138" t="str">
        <f t="shared" si="0"/>
        <v/>
      </c>
      <c r="K34" s="141"/>
      <c r="L34" s="141"/>
      <c r="M34" s="144"/>
      <c r="N34" s="144"/>
      <c r="O34" s="144"/>
      <c r="P34" s="144"/>
      <c r="Q34" s="144"/>
      <c r="R34" s="144"/>
      <c r="S34" s="147"/>
      <c r="T34" s="147"/>
      <c r="U34" s="147"/>
      <c r="V34" s="147"/>
      <c r="W34" s="115"/>
      <c r="X34" s="115"/>
      <c r="Y34" s="115"/>
      <c r="Z34" s="144"/>
      <c r="AA34" s="114"/>
      <c r="AB34" s="144"/>
      <c r="AC34" s="114"/>
      <c r="AD34" s="144"/>
      <c r="AE34" s="144"/>
      <c r="AF34" s="114"/>
      <c r="AG34" s="60"/>
    </row>
    <row r="35" spans="1:33" s="88" customFormat="1" ht="15" x14ac:dyDescent="0.2">
      <c r="A35" s="59"/>
      <c r="B35" s="114"/>
      <c r="C35" s="114"/>
      <c r="D35" s="138"/>
      <c r="E35" s="138"/>
      <c r="F35" s="138"/>
      <c r="G35" s="138"/>
      <c r="H35" s="138"/>
      <c r="I35" s="138"/>
      <c r="J35" s="138" t="str">
        <f t="shared" si="0"/>
        <v/>
      </c>
      <c r="K35" s="141"/>
      <c r="L35" s="141"/>
      <c r="M35" s="144"/>
      <c r="N35" s="144"/>
      <c r="O35" s="144"/>
      <c r="P35" s="144"/>
      <c r="Q35" s="144"/>
      <c r="R35" s="144"/>
      <c r="S35" s="147"/>
      <c r="T35" s="147"/>
      <c r="U35" s="147"/>
      <c r="V35" s="147"/>
      <c r="W35" s="115"/>
      <c r="X35" s="115"/>
      <c r="Y35" s="115"/>
      <c r="Z35" s="144"/>
      <c r="AA35" s="114"/>
      <c r="AB35" s="144"/>
      <c r="AC35" s="114"/>
      <c r="AD35" s="144"/>
      <c r="AE35" s="144"/>
      <c r="AF35" s="114"/>
      <c r="AG35" s="60"/>
    </row>
    <row r="36" spans="1:33" s="88" customFormat="1" ht="15" x14ac:dyDescent="0.2">
      <c r="A36" s="59"/>
      <c r="B36" s="114"/>
      <c r="C36" s="114"/>
      <c r="D36" s="138"/>
      <c r="E36" s="138"/>
      <c r="F36" s="138"/>
      <c r="G36" s="138"/>
      <c r="H36" s="138"/>
      <c r="I36" s="138"/>
      <c r="J36" s="138" t="str">
        <f t="shared" si="0"/>
        <v/>
      </c>
      <c r="K36" s="141"/>
      <c r="L36" s="141"/>
      <c r="M36" s="144"/>
      <c r="N36" s="144"/>
      <c r="O36" s="144"/>
      <c r="P36" s="144"/>
      <c r="Q36" s="144"/>
      <c r="R36" s="144"/>
      <c r="S36" s="147"/>
      <c r="T36" s="147"/>
      <c r="U36" s="147"/>
      <c r="V36" s="147"/>
      <c r="W36" s="115"/>
      <c r="X36" s="115"/>
      <c r="Y36" s="115"/>
      <c r="Z36" s="144"/>
      <c r="AA36" s="114"/>
      <c r="AB36" s="144"/>
      <c r="AC36" s="114"/>
      <c r="AD36" s="144"/>
      <c r="AE36" s="144"/>
      <c r="AF36" s="114"/>
      <c r="AG36" s="60"/>
    </row>
    <row r="37" spans="1:33" s="88" customFormat="1" ht="15" x14ac:dyDescent="0.2">
      <c r="A37" s="59"/>
      <c r="B37" s="114"/>
      <c r="C37" s="114"/>
      <c r="D37" s="138"/>
      <c r="E37" s="138"/>
      <c r="F37" s="138"/>
      <c r="G37" s="138"/>
      <c r="H37" s="138"/>
      <c r="I37" s="138"/>
      <c r="J37" s="138" t="str">
        <f t="shared" si="0"/>
        <v/>
      </c>
      <c r="K37" s="141"/>
      <c r="L37" s="141"/>
      <c r="M37" s="144"/>
      <c r="N37" s="144"/>
      <c r="O37" s="144"/>
      <c r="P37" s="144"/>
      <c r="Q37" s="144"/>
      <c r="R37" s="144"/>
      <c r="S37" s="147"/>
      <c r="T37" s="147"/>
      <c r="U37" s="147"/>
      <c r="V37" s="147"/>
      <c r="W37" s="115"/>
      <c r="X37" s="115"/>
      <c r="Y37" s="115"/>
      <c r="Z37" s="144"/>
      <c r="AA37" s="114"/>
      <c r="AB37" s="144"/>
      <c r="AC37" s="114"/>
      <c r="AD37" s="144"/>
      <c r="AE37" s="144"/>
      <c r="AF37" s="114"/>
      <c r="AG37" s="60"/>
    </row>
    <row r="38" spans="1:33" s="88" customFormat="1" ht="15" x14ac:dyDescent="0.2">
      <c r="A38" s="59"/>
      <c r="B38" s="114"/>
      <c r="C38" s="114"/>
      <c r="D38" s="138"/>
      <c r="E38" s="138"/>
      <c r="F38" s="138"/>
      <c r="G38" s="138"/>
      <c r="H38" s="138"/>
      <c r="I38" s="138"/>
      <c r="J38" s="138" t="str">
        <f t="shared" si="0"/>
        <v/>
      </c>
      <c r="K38" s="141"/>
      <c r="L38" s="141"/>
      <c r="M38" s="144"/>
      <c r="N38" s="144"/>
      <c r="O38" s="144"/>
      <c r="P38" s="144"/>
      <c r="Q38" s="144"/>
      <c r="R38" s="144"/>
      <c r="S38" s="147"/>
      <c r="T38" s="147"/>
      <c r="U38" s="147"/>
      <c r="V38" s="147"/>
      <c r="W38" s="115"/>
      <c r="X38" s="115"/>
      <c r="Y38" s="115"/>
      <c r="Z38" s="144"/>
      <c r="AA38" s="114"/>
      <c r="AB38" s="144"/>
      <c r="AC38" s="114"/>
      <c r="AD38" s="144"/>
      <c r="AE38" s="144"/>
      <c r="AF38" s="114"/>
      <c r="AG38" s="60"/>
    </row>
    <row r="39" spans="1:33" s="88" customFormat="1" ht="15" x14ac:dyDescent="0.2">
      <c r="A39" s="59"/>
      <c r="B39" s="114"/>
      <c r="C39" s="114"/>
      <c r="D39" s="138"/>
      <c r="E39" s="138"/>
      <c r="F39" s="138"/>
      <c r="G39" s="138"/>
      <c r="H39" s="138"/>
      <c r="I39" s="138"/>
      <c r="J39" s="138" t="str">
        <f t="shared" si="0"/>
        <v/>
      </c>
      <c r="K39" s="141"/>
      <c r="L39" s="141"/>
      <c r="M39" s="144"/>
      <c r="N39" s="144"/>
      <c r="O39" s="144"/>
      <c r="P39" s="144"/>
      <c r="Q39" s="144"/>
      <c r="R39" s="144"/>
      <c r="S39" s="147"/>
      <c r="T39" s="147"/>
      <c r="U39" s="147"/>
      <c r="V39" s="147"/>
      <c r="W39" s="115"/>
      <c r="X39" s="115"/>
      <c r="Y39" s="115"/>
      <c r="Z39" s="144"/>
      <c r="AA39" s="114"/>
      <c r="AB39" s="144"/>
      <c r="AC39" s="114"/>
      <c r="AD39" s="144"/>
      <c r="AE39" s="144"/>
      <c r="AF39" s="114"/>
      <c r="AG39" s="60"/>
    </row>
    <row r="40" spans="1:33" s="88" customFormat="1" ht="15" x14ac:dyDescent="0.2">
      <c r="A40" s="59"/>
      <c r="B40" s="114"/>
      <c r="C40" s="114"/>
      <c r="D40" s="138"/>
      <c r="E40" s="138"/>
      <c r="F40" s="138"/>
      <c r="G40" s="138"/>
      <c r="H40" s="138"/>
      <c r="I40" s="138"/>
      <c r="J40" s="138" t="str">
        <f t="shared" si="0"/>
        <v/>
      </c>
      <c r="K40" s="141"/>
      <c r="L40" s="141"/>
      <c r="M40" s="144"/>
      <c r="N40" s="144"/>
      <c r="O40" s="144"/>
      <c r="P40" s="144"/>
      <c r="Q40" s="144"/>
      <c r="R40" s="144"/>
      <c r="S40" s="147"/>
      <c r="T40" s="147"/>
      <c r="U40" s="147"/>
      <c r="V40" s="147"/>
      <c r="W40" s="115"/>
      <c r="X40" s="115"/>
      <c r="Y40" s="115"/>
      <c r="Z40" s="144"/>
      <c r="AA40" s="114"/>
      <c r="AB40" s="144"/>
      <c r="AC40" s="114"/>
      <c r="AD40" s="144"/>
      <c r="AE40" s="144"/>
      <c r="AF40" s="114"/>
      <c r="AG40" s="60"/>
    </row>
    <row r="41" spans="1:33" s="88" customFormat="1" ht="15" x14ac:dyDescent="0.2">
      <c r="A41" s="59"/>
      <c r="B41" s="114"/>
      <c r="C41" s="114"/>
      <c r="D41" s="138"/>
      <c r="E41" s="138"/>
      <c r="F41" s="138"/>
      <c r="G41" s="138"/>
      <c r="H41" s="138"/>
      <c r="I41" s="138"/>
      <c r="J41" s="138" t="str">
        <f t="shared" si="0"/>
        <v/>
      </c>
      <c r="K41" s="141"/>
      <c r="L41" s="141"/>
      <c r="M41" s="144"/>
      <c r="N41" s="144"/>
      <c r="O41" s="144"/>
      <c r="P41" s="144"/>
      <c r="Q41" s="144"/>
      <c r="R41" s="144"/>
      <c r="S41" s="147"/>
      <c r="T41" s="147"/>
      <c r="U41" s="147"/>
      <c r="V41" s="147"/>
      <c r="W41" s="115"/>
      <c r="X41" s="115"/>
      <c r="Y41" s="115"/>
      <c r="Z41" s="144"/>
      <c r="AA41" s="114"/>
      <c r="AB41" s="144"/>
      <c r="AC41" s="114"/>
      <c r="AD41" s="144"/>
      <c r="AE41" s="144"/>
      <c r="AF41" s="114"/>
      <c r="AG41" s="60"/>
    </row>
    <row r="42" spans="1:33" s="88" customFormat="1" ht="15" x14ac:dyDescent="0.2">
      <c r="A42" s="59"/>
      <c r="B42" s="114"/>
      <c r="C42" s="114"/>
      <c r="D42" s="138"/>
      <c r="E42" s="138"/>
      <c r="F42" s="138"/>
      <c r="G42" s="138"/>
      <c r="H42" s="138"/>
      <c r="I42" s="138"/>
      <c r="J42" s="138" t="str">
        <f t="shared" si="0"/>
        <v/>
      </c>
      <c r="K42" s="141"/>
      <c r="L42" s="141"/>
      <c r="M42" s="144"/>
      <c r="N42" s="144"/>
      <c r="O42" s="144"/>
      <c r="P42" s="144"/>
      <c r="Q42" s="144"/>
      <c r="R42" s="144"/>
      <c r="S42" s="147"/>
      <c r="T42" s="147"/>
      <c r="U42" s="147"/>
      <c r="V42" s="147"/>
      <c r="W42" s="115"/>
      <c r="X42" s="115"/>
      <c r="Y42" s="115"/>
      <c r="Z42" s="144"/>
      <c r="AA42" s="114"/>
      <c r="AB42" s="144"/>
      <c r="AC42" s="114"/>
      <c r="AD42" s="144"/>
      <c r="AE42" s="144"/>
      <c r="AF42" s="114"/>
      <c r="AG42" s="60"/>
    </row>
    <row r="43" spans="1:33" s="88" customFormat="1" ht="15" x14ac:dyDescent="0.2">
      <c r="A43" s="59"/>
      <c r="B43" s="114"/>
      <c r="C43" s="114"/>
      <c r="D43" s="138"/>
      <c r="E43" s="138"/>
      <c r="F43" s="138"/>
      <c r="G43" s="138"/>
      <c r="H43" s="138"/>
      <c r="I43" s="138"/>
      <c r="J43" s="138" t="str">
        <f t="shared" si="0"/>
        <v/>
      </c>
      <c r="K43" s="141"/>
      <c r="L43" s="141"/>
      <c r="M43" s="144"/>
      <c r="N43" s="144"/>
      <c r="O43" s="144"/>
      <c r="P43" s="144"/>
      <c r="Q43" s="144"/>
      <c r="R43" s="144"/>
      <c r="S43" s="147"/>
      <c r="T43" s="147"/>
      <c r="U43" s="147"/>
      <c r="V43" s="147"/>
      <c r="W43" s="115"/>
      <c r="X43" s="115"/>
      <c r="Y43" s="115"/>
      <c r="Z43" s="144"/>
      <c r="AA43" s="114"/>
      <c r="AB43" s="144"/>
      <c r="AC43" s="114"/>
      <c r="AD43" s="144"/>
      <c r="AE43" s="144"/>
      <c r="AF43" s="114"/>
      <c r="AG43" s="60"/>
    </row>
    <row r="44" spans="1:33" s="88" customFormat="1" ht="15" x14ac:dyDescent="0.2">
      <c r="A44" s="59"/>
      <c r="B44" s="114"/>
      <c r="C44" s="114"/>
      <c r="D44" s="138"/>
      <c r="E44" s="138"/>
      <c r="F44" s="138"/>
      <c r="G44" s="138"/>
      <c r="H44" s="138"/>
      <c r="I44" s="138"/>
      <c r="J44" s="138" t="str">
        <f t="shared" si="0"/>
        <v/>
      </c>
      <c r="K44" s="141"/>
      <c r="L44" s="141"/>
      <c r="M44" s="144"/>
      <c r="N44" s="144"/>
      <c r="O44" s="144"/>
      <c r="P44" s="144"/>
      <c r="Q44" s="144"/>
      <c r="R44" s="144"/>
      <c r="S44" s="147"/>
      <c r="T44" s="147"/>
      <c r="U44" s="147"/>
      <c r="V44" s="147"/>
      <c r="W44" s="115"/>
      <c r="X44" s="115"/>
      <c r="Y44" s="115"/>
      <c r="Z44" s="144"/>
      <c r="AA44" s="114"/>
      <c r="AB44" s="144"/>
      <c r="AC44" s="114"/>
      <c r="AD44" s="144"/>
      <c r="AE44" s="144"/>
      <c r="AF44" s="114"/>
      <c r="AG44" s="60"/>
    </row>
    <row r="45" spans="1:33" s="88" customFormat="1" ht="15" x14ac:dyDescent="0.2">
      <c r="A45" s="59"/>
      <c r="B45" s="114"/>
      <c r="C45" s="114"/>
      <c r="D45" s="138"/>
      <c r="E45" s="138"/>
      <c r="F45" s="138"/>
      <c r="G45" s="138"/>
      <c r="H45" s="138"/>
      <c r="I45" s="138"/>
      <c r="J45" s="138" t="str">
        <f t="shared" si="0"/>
        <v/>
      </c>
      <c r="K45" s="141"/>
      <c r="L45" s="141"/>
      <c r="M45" s="144"/>
      <c r="N45" s="144"/>
      <c r="O45" s="144"/>
      <c r="P45" s="144"/>
      <c r="Q45" s="144"/>
      <c r="R45" s="144"/>
      <c r="S45" s="147"/>
      <c r="T45" s="147"/>
      <c r="U45" s="147"/>
      <c r="V45" s="147"/>
      <c r="W45" s="115"/>
      <c r="X45" s="115"/>
      <c r="Y45" s="115"/>
      <c r="Z45" s="144"/>
      <c r="AA45" s="114"/>
      <c r="AB45" s="144"/>
      <c r="AC45" s="114"/>
      <c r="AD45" s="144"/>
      <c r="AE45" s="144"/>
      <c r="AF45" s="114"/>
      <c r="AG45" s="60"/>
    </row>
    <row r="46" spans="1:33" s="88" customFormat="1" ht="15" x14ac:dyDescent="0.2">
      <c r="A46" s="59"/>
      <c r="B46" s="114"/>
      <c r="C46" s="114"/>
      <c r="D46" s="138"/>
      <c r="E46" s="138"/>
      <c r="F46" s="138"/>
      <c r="G46" s="138"/>
      <c r="H46" s="138"/>
      <c r="I46" s="138"/>
      <c r="J46" s="138" t="str">
        <f t="shared" si="0"/>
        <v/>
      </c>
      <c r="K46" s="141"/>
      <c r="L46" s="141"/>
      <c r="M46" s="144"/>
      <c r="N46" s="144"/>
      <c r="O46" s="144"/>
      <c r="P46" s="144"/>
      <c r="Q46" s="144"/>
      <c r="R46" s="144"/>
      <c r="S46" s="147"/>
      <c r="T46" s="147"/>
      <c r="U46" s="147"/>
      <c r="V46" s="147"/>
      <c r="W46" s="115"/>
      <c r="X46" s="115"/>
      <c r="Y46" s="115"/>
      <c r="Z46" s="144"/>
      <c r="AA46" s="114"/>
      <c r="AB46" s="144"/>
      <c r="AC46" s="114"/>
      <c r="AD46" s="144"/>
      <c r="AE46" s="144"/>
      <c r="AF46" s="114"/>
      <c r="AG46" s="60"/>
    </row>
    <row r="47" spans="1:33" s="88" customFormat="1" ht="15" x14ac:dyDescent="0.2">
      <c r="A47" s="59"/>
      <c r="B47" s="114"/>
      <c r="C47" s="114"/>
      <c r="D47" s="138"/>
      <c r="E47" s="138"/>
      <c r="F47" s="138"/>
      <c r="G47" s="138"/>
      <c r="H47" s="138"/>
      <c r="I47" s="138"/>
      <c r="J47" s="138" t="str">
        <f t="shared" si="0"/>
        <v/>
      </c>
      <c r="K47" s="141"/>
      <c r="L47" s="141"/>
      <c r="M47" s="144"/>
      <c r="N47" s="144"/>
      <c r="O47" s="144"/>
      <c r="P47" s="144"/>
      <c r="Q47" s="144"/>
      <c r="R47" s="144"/>
      <c r="S47" s="147"/>
      <c r="T47" s="147"/>
      <c r="U47" s="147"/>
      <c r="V47" s="147"/>
      <c r="W47" s="115"/>
      <c r="X47" s="115"/>
      <c r="Y47" s="115"/>
      <c r="Z47" s="144"/>
      <c r="AA47" s="114"/>
      <c r="AB47" s="144"/>
      <c r="AC47" s="114"/>
      <c r="AD47" s="144"/>
      <c r="AE47" s="144"/>
      <c r="AF47" s="114"/>
      <c r="AG47" s="60"/>
    </row>
    <row r="48" spans="1:33" s="88" customFormat="1" ht="15" x14ac:dyDescent="0.2">
      <c r="A48" s="59"/>
      <c r="B48" s="114"/>
      <c r="C48" s="114"/>
      <c r="D48" s="138"/>
      <c r="E48" s="138"/>
      <c r="F48" s="138"/>
      <c r="G48" s="138"/>
      <c r="H48" s="138"/>
      <c r="I48" s="138"/>
      <c r="J48" s="138" t="str">
        <f t="shared" si="0"/>
        <v/>
      </c>
      <c r="K48" s="141"/>
      <c r="L48" s="141"/>
      <c r="M48" s="144"/>
      <c r="N48" s="144"/>
      <c r="O48" s="144"/>
      <c r="P48" s="144"/>
      <c r="Q48" s="144"/>
      <c r="R48" s="144"/>
      <c r="S48" s="147"/>
      <c r="T48" s="147"/>
      <c r="U48" s="147"/>
      <c r="V48" s="147"/>
      <c r="W48" s="115"/>
      <c r="X48" s="115"/>
      <c r="Y48" s="115"/>
      <c r="Z48" s="144"/>
      <c r="AA48" s="114"/>
      <c r="AB48" s="144"/>
      <c r="AC48" s="114"/>
      <c r="AD48" s="144"/>
      <c r="AE48" s="144"/>
      <c r="AF48" s="114"/>
      <c r="AG48" s="60"/>
    </row>
    <row r="49" spans="1:33" s="88" customFormat="1" ht="15" x14ac:dyDescent="0.2">
      <c r="A49" s="59"/>
      <c r="B49" s="114"/>
      <c r="C49" s="114"/>
      <c r="D49" s="138"/>
      <c r="E49" s="138"/>
      <c r="F49" s="138"/>
      <c r="G49" s="138"/>
      <c r="H49" s="138"/>
      <c r="I49" s="138"/>
      <c r="J49" s="138" t="str">
        <f t="shared" si="0"/>
        <v/>
      </c>
      <c r="K49" s="141"/>
      <c r="L49" s="141"/>
      <c r="M49" s="144"/>
      <c r="N49" s="144"/>
      <c r="O49" s="144"/>
      <c r="P49" s="144"/>
      <c r="Q49" s="144"/>
      <c r="R49" s="144"/>
      <c r="S49" s="147"/>
      <c r="T49" s="147"/>
      <c r="U49" s="147"/>
      <c r="V49" s="147"/>
      <c r="W49" s="115"/>
      <c r="X49" s="115"/>
      <c r="Y49" s="115"/>
      <c r="Z49" s="144"/>
      <c r="AA49" s="114"/>
      <c r="AB49" s="144"/>
      <c r="AC49" s="114"/>
      <c r="AD49" s="144"/>
      <c r="AE49" s="144"/>
      <c r="AF49" s="114"/>
      <c r="AG49" s="60"/>
    </row>
    <row r="50" spans="1:33" s="88" customFormat="1" ht="15" x14ac:dyDescent="0.2">
      <c r="A50" s="59"/>
      <c r="B50" s="114"/>
      <c r="C50" s="114"/>
      <c r="D50" s="138"/>
      <c r="E50" s="138"/>
      <c r="F50" s="138"/>
      <c r="G50" s="138"/>
      <c r="H50" s="138"/>
      <c r="I50" s="138"/>
      <c r="J50" s="138" t="str">
        <f t="shared" si="0"/>
        <v/>
      </c>
      <c r="K50" s="141"/>
      <c r="L50" s="141"/>
      <c r="M50" s="144"/>
      <c r="N50" s="144"/>
      <c r="O50" s="144"/>
      <c r="P50" s="144"/>
      <c r="Q50" s="144"/>
      <c r="R50" s="144"/>
      <c r="S50" s="147"/>
      <c r="T50" s="147"/>
      <c r="U50" s="147"/>
      <c r="V50" s="147"/>
      <c r="W50" s="115"/>
      <c r="X50" s="115"/>
      <c r="Y50" s="115"/>
      <c r="Z50" s="144"/>
      <c r="AA50" s="114"/>
      <c r="AB50" s="144"/>
      <c r="AC50" s="114"/>
      <c r="AD50" s="144"/>
      <c r="AE50" s="144"/>
      <c r="AF50" s="114"/>
      <c r="AG50" s="60"/>
    </row>
    <row r="51" spans="1:33" s="88" customFormat="1" ht="15" x14ac:dyDescent="0.2">
      <c r="A51" s="59"/>
      <c r="B51" s="114"/>
      <c r="C51" s="114"/>
      <c r="D51" s="138"/>
      <c r="E51" s="138"/>
      <c r="F51" s="138"/>
      <c r="G51" s="138"/>
      <c r="H51" s="138"/>
      <c r="I51" s="138"/>
      <c r="J51" s="138" t="str">
        <f t="shared" si="0"/>
        <v/>
      </c>
      <c r="K51" s="141"/>
      <c r="L51" s="141"/>
      <c r="M51" s="144"/>
      <c r="N51" s="144"/>
      <c r="O51" s="144"/>
      <c r="P51" s="144"/>
      <c r="Q51" s="144"/>
      <c r="R51" s="144"/>
      <c r="S51" s="147"/>
      <c r="T51" s="147"/>
      <c r="U51" s="147"/>
      <c r="V51" s="147"/>
      <c r="W51" s="115"/>
      <c r="X51" s="115"/>
      <c r="Y51" s="115"/>
      <c r="Z51" s="144"/>
      <c r="AA51" s="114"/>
      <c r="AB51" s="144"/>
      <c r="AC51" s="114"/>
      <c r="AD51" s="144"/>
      <c r="AE51" s="144"/>
      <c r="AF51" s="114"/>
      <c r="AG51" s="60"/>
    </row>
    <row r="52" spans="1:33" s="88" customFormat="1" ht="15" x14ac:dyDescent="0.2">
      <c r="A52" s="59"/>
      <c r="B52" s="114"/>
      <c r="C52" s="114"/>
      <c r="D52" s="138"/>
      <c r="E52" s="138"/>
      <c r="F52" s="138"/>
      <c r="G52" s="138"/>
      <c r="H52" s="138"/>
      <c r="I52" s="138"/>
      <c r="J52" s="138" t="str">
        <f t="shared" si="0"/>
        <v/>
      </c>
      <c r="K52" s="141"/>
      <c r="L52" s="141"/>
      <c r="M52" s="144"/>
      <c r="N52" s="144"/>
      <c r="O52" s="144"/>
      <c r="P52" s="144"/>
      <c r="Q52" s="144"/>
      <c r="R52" s="144"/>
      <c r="S52" s="147"/>
      <c r="T52" s="147"/>
      <c r="U52" s="147"/>
      <c r="V52" s="147"/>
      <c r="W52" s="115"/>
      <c r="X52" s="115"/>
      <c r="Y52" s="115"/>
      <c r="Z52" s="144"/>
      <c r="AA52" s="114"/>
      <c r="AB52" s="144"/>
      <c r="AC52" s="114"/>
      <c r="AD52" s="144"/>
      <c r="AE52" s="144"/>
      <c r="AF52" s="114"/>
      <c r="AG52" s="60"/>
    </row>
    <row r="53" spans="1:33" s="88" customFormat="1" ht="15" x14ac:dyDescent="0.2">
      <c r="A53" s="59"/>
      <c r="B53" s="114"/>
      <c r="C53" s="114"/>
      <c r="D53" s="138"/>
      <c r="E53" s="138"/>
      <c r="F53" s="138"/>
      <c r="G53" s="138"/>
      <c r="H53" s="138"/>
      <c r="I53" s="138"/>
      <c r="J53" s="138" t="str">
        <f t="shared" si="0"/>
        <v/>
      </c>
      <c r="K53" s="141"/>
      <c r="L53" s="141"/>
      <c r="M53" s="144"/>
      <c r="N53" s="144"/>
      <c r="O53" s="144"/>
      <c r="P53" s="144"/>
      <c r="Q53" s="144"/>
      <c r="R53" s="144"/>
      <c r="S53" s="147"/>
      <c r="T53" s="147"/>
      <c r="U53" s="147"/>
      <c r="V53" s="147"/>
      <c r="W53" s="115"/>
      <c r="X53" s="115"/>
      <c r="Y53" s="115"/>
      <c r="Z53" s="144"/>
      <c r="AA53" s="114"/>
      <c r="AB53" s="144"/>
      <c r="AC53" s="114"/>
      <c r="AD53" s="144"/>
      <c r="AE53" s="144"/>
      <c r="AF53" s="114"/>
      <c r="AG53" s="60"/>
    </row>
    <row r="54" spans="1:33" s="88" customFormat="1" ht="15" x14ac:dyDescent="0.2">
      <c r="A54" s="59"/>
      <c r="B54" s="114"/>
      <c r="C54" s="114"/>
      <c r="D54" s="138"/>
      <c r="E54" s="138"/>
      <c r="F54" s="138"/>
      <c r="G54" s="138"/>
      <c r="H54" s="138"/>
      <c r="I54" s="138"/>
      <c r="J54" s="138" t="str">
        <f t="shared" si="0"/>
        <v/>
      </c>
      <c r="K54" s="141"/>
      <c r="L54" s="141"/>
      <c r="M54" s="144"/>
      <c r="N54" s="144"/>
      <c r="O54" s="144"/>
      <c r="P54" s="144"/>
      <c r="Q54" s="144"/>
      <c r="R54" s="144"/>
      <c r="S54" s="147"/>
      <c r="T54" s="147"/>
      <c r="U54" s="147"/>
      <c r="V54" s="147"/>
      <c r="W54" s="115"/>
      <c r="X54" s="115"/>
      <c r="Y54" s="115"/>
      <c r="Z54" s="144"/>
      <c r="AA54" s="114"/>
      <c r="AB54" s="144"/>
      <c r="AC54" s="114"/>
      <c r="AD54" s="144"/>
      <c r="AE54" s="144"/>
      <c r="AF54" s="114"/>
      <c r="AG54" s="60"/>
    </row>
    <row r="55" spans="1:33" s="88" customFormat="1" ht="15" x14ac:dyDescent="0.2">
      <c r="A55" s="59"/>
      <c r="B55" s="114"/>
      <c r="C55" s="114"/>
      <c r="D55" s="138"/>
      <c r="E55" s="138"/>
      <c r="F55" s="138"/>
      <c r="G55" s="138"/>
      <c r="H55" s="138"/>
      <c r="I55" s="138"/>
      <c r="J55" s="138" t="str">
        <f t="shared" si="0"/>
        <v/>
      </c>
      <c r="K55" s="141"/>
      <c r="L55" s="141"/>
      <c r="M55" s="144"/>
      <c r="N55" s="144"/>
      <c r="O55" s="144"/>
      <c r="P55" s="144"/>
      <c r="Q55" s="144"/>
      <c r="R55" s="144"/>
      <c r="S55" s="147"/>
      <c r="T55" s="147"/>
      <c r="U55" s="147"/>
      <c r="V55" s="147"/>
      <c r="W55" s="115"/>
      <c r="X55" s="115"/>
      <c r="Y55" s="115"/>
      <c r="Z55" s="144"/>
      <c r="AA55" s="114"/>
      <c r="AB55" s="144"/>
      <c r="AC55" s="114"/>
      <c r="AD55" s="144"/>
      <c r="AE55" s="144"/>
      <c r="AF55" s="114"/>
      <c r="AG55" s="60"/>
    </row>
    <row r="56" spans="1:33" s="88" customFormat="1" ht="15" x14ac:dyDescent="0.2">
      <c r="A56" s="59"/>
      <c r="B56" s="114"/>
      <c r="C56" s="114"/>
      <c r="D56" s="138"/>
      <c r="E56" s="138"/>
      <c r="F56" s="138"/>
      <c r="G56" s="138"/>
      <c r="H56" s="138"/>
      <c r="I56" s="138"/>
      <c r="J56" s="138" t="str">
        <f t="shared" si="0"/>
        <v/>
      </c>
      <c r="K56" s="141"/>
      <c r="L56" s="141"/>
      <c r="M56" s="144"/>
      <c r="N56" s="144"/>
      <c r="O56" s="144"/>
      <c r="P56" s="144"/>
      <c r="Q56" s="144"/>
      <c r="R56" s="144"/>
      <c r="S56" s="147"/>
      <c r="T56" s="147"/>
      <c r="U56" s="147"/>
      <c r="V56" s="147"/>
      <c r="W56" s="115"/>
      <c r="X56" s="115"/>
      <c r="Y56" s="115"/>
      <c r="Z56" s="144"/>
      <c r="AA56" s="114"/>
      <c r="AB56" s="144"/>
      <c r="AC56" s="114"/>
      <c r="AD56" s="144"/>
      <c r="AE56" s="144"/>
      <c r="AF56" s="114"/>
      <c r="AG56" s="60"/>
    </row>
    <row r="57" spans="1:33" s="88" customFormat="1" ht="15" x14ac:dyDescent="0.2">
      <c r="A57" s="59"/>
      <c r="B57" s="114"/>
      <c r="C57" s="114"/>
      <c r="D57" s="138"/>
      <c r="E57" s="138"/>
      <c r="F57" s="138"/>
      <c r="G57" s="138"/>
      <c r="H57" s="138"/>
      <c r="I57" s="138"/>
      <c r="J57" s="138" t="str">
        <f t="shared" si="0"/>
        <v/>
      </c>
      <c r="K57" s="141"/>
      <c r="L57" s="141"/>
      <c r="M57" s="144"/>
      <c r="N57" s="144"/>
      <c r="O57" s="144"/>
      <c r="P57" s="144"/>
      <c r="Q57" s="144"/>
      <c r="R57" s="144"/>
      <c r="S57" s="147"/>
      <c r="T57" s="147"/>
      <c r="U57" s="147"/>
      <c r="V57" s="147"/>
      <c r="W57" s="115"/>
      <c r="X57" s="115"/>
      <c r="Y57" s="115"/>
      <c r="Z57" s="144"/>
      <c r="AA57" s="114"/>
      <c r="AB57" s="144"/>
      <c r="AC57" s="114"/>
      <c r="AD57" s="144"/>
      <c r="AE57" s="144"/>
      <c r="AF57" s="114"/>
      <c r="AG57" s="60"/>
    </row>
    <row r="58" spans="1:33" s="88" customFormat="1" ht="15" x14ac:dyDescent="0.2">
      <c r="A58" s="59"/>
      <c r="B58" s="114"/>
      <c r="C58" s="114"/>
      <c r="D58" s="138"/>
      <c r="E58" s="138"/>
      <c r="F58" s="138"/>
      <c r="G58" s="138"/>
      <c r="H58" s="138"/>
      <c r="I58" s="138"/>
      <c r="J58" s="138" t="str">
        <f t="shared" si="0"/>
        <v/>
      </c>
      <c r="K58" s="141"/>
      <c r="L58" s="141"/>
      <c r="M58" s="144"/>
      <c r="N58" s="144"/>
      <c r="O58" s="144"/>
      <c r="P58" s="144"/>
      <c r="Q58" s="144"/>
      <c r="R58" s="144"/>
      <c r="S58" s="147"/>
      <c r="T58" s="147"/>
      <c r="U58" s="147"/>
      <c r="V58" s="147"/>
      <c r="W58" s="115"/>
      <c r="X58" s="115"/>
      <c r="Y58" s="115"/>
      <c r="Z58" s="144"/>
      <c r="AA58" s="114"/>
      <c r="AB58" s="144"/>
      <c r="AC58" s="114"/>
      <c r="AD58" s="144"/>
      <c r="AE58" s="144"/>
      <c r="AF58" s="114"/>
      <c r="AG58" s="60"/>
    </row>
    <row r="59" spans="1:33" s="88" customFormat="1" ht="15" x14ac:dyDescent="0.2">
      <c r="A59" s="59"/>
      <c r="B59" s="114"/>
      <c r="C59" s="114"/>
      <c r="D59" s="138"/>
      <c r="E59" s="138"/>
      <c r="F59" s="138"/>
      <c r="G59" s="138"/>
      <c r="H59" s="138"/>
      <c r="I59" s="138"/>
      <c r="J59" s="138" t="str">
        <f t="shared" si="0"/>
        <v/>
      </c>
      <c r="K59" s="141"/>
      <c r="L59" s="141"/>
      <c r="M59" s="144"/>
      <c r="N59" s="144"/>
      <c r="O59" s="144"/>
      <c r="P59" s="144"/>
      <c r="Q59" s="144"/>
      <c r="R59" s="144"/>
      <c r="S59" s="147"/>
      <c r="T59" s="147"/>
      <c r="U59" s="147"/>
      <c r="V59" s="147"/>
      <c r="W59" s="115"/>
      <c r="X59" s="115"/>
      <c r="Y59" s="115"/>
      <c r="Z59" s="144"/>
      <c r="AA59" s="114"/>
      <c r="AB59" s="144"/>
      <c r="AC59" s="114"/>
      <c r="AD59" s="144"/>
      <c r="AE59" s="144"/>
      <c r="AF59" s="114"/>
      <c r="AG59" s="60"/>
    </row>
    <row r="60" spans="1:33" s="88" customFormat="1" ht="15" x14ac:dyDescent="0.2">
      <c r="A60" s="59"/>
      <c r="B60" s="114"/>
      <c r="C60" s="114"/>
      <c r="D60" s="138"/>
      <c r="E60" s="138"/>
      <c r="F60" s="138"/>
      <c r="G60" s="138"/>
      <c r="H60" s="138"/>
      <c r="I60" s="138"/>
      <c r="J60" s="138" t="str">
        <f t="shared" si="0"/>
        <v/>
      </c>
      <c r="K60" s="141"/>
      <c r="L60" s="141"/>
      <c r="M60" s="144"/>
      <c r="N60" s="144"/>
      <c r="O60" s="144"/>
      <c r="P60" s="144"/>
      <c r="Q60" s="144"/>
      <c r="R60" s="144"/>
      <c r="S60" s="147"/>
      <c r="T60" s="147"/>
      <c r="U60" s="147"/>
      <c r="V60" s="147"/>
      <c r="W60" s="115"/>
      <c r="X60" s="115"/>
      <c r="Y60" s="115"/>
      <c r="Z60" s="144"/>
      <c r="AA60" s="114"/>
      <c r="AB60" s="144"/>
      <c r="AC60" s="114"/>
      <c r="AD60" s="144"/>
      <c r="AE60" s="144"/>
      <c r="AF60" s="114"/>
      <c r="AG60" s="60"/>
    </row>
    <row r="61" spans="1:33" s="88" customFormat="1" ht="15" x14ac:dyDescent="0.2">
      <c r="A61" s="59"/>
      <c r="B61" s="114"/>
      <c r="C61" s="114"/>
      <c r="D61" s="138"/>
      <c r="E61" s="138"/>
      <c r="F61" s="138"/>
      <c r="G61" s="138"/>
      <c r="H61" s="138"/>
      <c r="I61" s="138"/>
      <c r="J61" s="138" t="str">
        <f t="shared" si="0"/>
        <v/>
      </c>
      <c r="K61" s="141"/>
      <c r="L61" s="141"/>
      <c r="M61" s="144"/>
      <c r="N61" s="144"/>
      <c r="O61" s="144"/>
      <c r="P61" s="144"/>
      <c r="Q61" s="144"/>
      <c r="R61" s="144"/>
      <c r="S61" s="147"/>
      <c r="T61" s="147"/>
      <c r="U61" s="147"/>
      <c r="V61" s="147"/>
      <c r="W61" s="115"/>
      <c r="X61" s="115"/>
      <c r="Y61" s="115"/>
      <c r="Z61" s="144"/>
      <c r="AA61" s="114"/>
      <c r="AB61" s="144"/>
      <c r="AC61" s="114"/>
      <c r="AD61" s="144"/>
      <c r="AE61" s="144"/>
      <c r="AF61" s="114"/>
      <c r="AG61" s="60"/>
    </row>
    <row r="62" spans="1:33" s="88" customFormat="1" ht="15" x14ac:dyDescent="0.2">
      <c r="A62" s="59"/>
      <c r="B62" s="114"/>
      <c r="C62" s="114"/>
      <c r="D62" s="138"/>
      <c r="E62" s="138"/>
      <c r="F62" s="138"/>
      <c r="G62" s="138"/>
      <c r="H62" s="138"/>
      <c r="I62" s="138"/>
      <c r="J62" s="138" t="str">
        <f t="shared" si="0"/>
        <v/>
      </c>
      <c r="K62" s="141"/>
      <c r="L62" s="141"/>
      <c r="M62" s="144"/>
      <c r="N62" s="144"/>
      <c r="O62" s="144"/>
      <c r="P62" s="144"/>
      <c r="Q62" s="144"/>
      <c r="R62" s="144"/>
      <c r="S62" s="147"/>
      <c r="T62" s="147"/>
      <c r="U62" s="147"/>
      <c r="V62" s="147"/>
      <c r="W62" s="115"/>
      <c r="X62" s="115"/>
      <c r="Y62" s="115"/>
      <c r="Z62" s="144"/>
      <c r="AA62" s="114"/>
      <c r="AB62" s="144"/>
      <c r="AC62" s="114"/>
      <c r="AD62" s="144"/>
      <c r="AE62" s="144"/>
      <c r="AF62" s="114"/>
      <c r="AG62" s="60"/>
    </row>
    <row r="63" spans="1:33" s="88" customFormat="1" ht="15" x14ac:dyDescent="0.2">
      <c r="A63" s="59"/>
      <c r="B63" s="114"/>
      <c r="C63" s="114"/>
      <c r="D63" s="138"/>
      <c r="E63" s="138"/>
      <c r="F63" s="138"/>
      <c r="G63" s="138"/>
      <c r="H63" s="138"/>
      <c r="I63" s="138"/>
      <c r="J63" s="138" t="str">
        <f t="shared" si="0"/>
        <v/>
      </c>
      <c r="K63" s="141"/>
      <c r="L63" s="141"/>
      <c r="M63" s="144"/>
      <c r="N63" s="144"/>
      <c r="O63" s="144"/>
      <c r="P63" s="144"/>
      <c r="Q63" s="144"/>
      <c r="R63" s="144"/>
      <c r="S63" s="147"/>
      <c r="T63" s="147"/>
      <c r="U63" s="147"/>
      <c r="V63" s="147"/>
      <c r="W63" s="115"/>
      <c r="X63" s="115"/>
      <c r="Y63" s="115"/>
      <c r="Z63" s="144"/>
      <c r="AA63" s="114"/>
      <c r="AB63" s="144"/>
      <c r="AC63" s="114"/>
      <c r="AD63" s="144"/>
      <c r="AE63" s="144"/>
      <c r="AF63" s="114"/>
      <c r="AG63" s="60"/>
    </row>
    <row r="64" spans="1:33" s="88" customFormat="1" ht="15" x14ac:dyDescent="0.2">
      <c r="A64" s="59"/>
      <c r="B64" s="114"/>
      <c r="C64" s="114"/>
      <c r="D64" s="138"/>
      <c r="E64" s="138"/>
      <c r="F64" s="138"/>
      <c r="G64" s="138"/>
      <c r="H64" s="138"/>
      <c r="I64" s="138"/>
      <c r="J64" s="138" t="str">
        <f t="shared" si="0"/>
        <v/>
      </c>
      <c r="K64" s="141"/>
      <c r="L64" s="141"/>
      <c r="M64" s="144"/>
      <c r="N64" s="144"/>
      <c r="O64" s="144"/>
      <c r="P64" s="144"/>
      <c r="Q64" s="144"/>
      <c r="R64" s="144"/>
      <c r="S64" s="147"/>
      <c r="T64" s="147"/>
      <c r="U64" s="147"/>
      <c r="V64" s="147"/>
      <c r="W64" s="115"/>
      <c r="X64" s="115"/>
      <c r="Y64" s="115"/>
      <c r="Z64" s="144"/>
      <c r="AA64" s="114"/>
      <c r="AB64" s="144"/>
      <c r="AC64" s="114"/>
      <c r="AD64" s="144"/>
      <c r="AE64" s="144"/>
      <c r="AF64" s="114"/>
      <c r="AG64" s="60"/>
    </row>
    <row r="65" spans="1:33" s="88" customFormat="1" ht="15" x14ac:dyDescent="0.2">
      <c r="A65" s="59"/>
      <c r="B65" s="114"/>
      <c r="C65" s="114"/>
      <c r="D65" s="138"/>
      <c r="E65" s="138"/>
      <c r="F65" s="138"/>
      <c r="G65" s="138"/>
      <c r="H65" s="138"/>
      <c r="I65" s="138"/>
      <c r="J65" s="138" t="str">
        <f t="shared" si="0"/>
        <v/>
      </c>
      <c r="K65" s="141"/>
      <c r="L65" s="141"/>
      <c r="M65" s="144"/>
      <c r="N65" s="144"/>
      <c r="O65" s="144"/>
      <c r="P65" s="144"/>
      <c r="Q65" s="144"/>
      <c r="R65" s="144"/>
      <c r="S65" s="147"/>
      <c r="T65" s="147"/>
      <c r="U65" s="147"/>
      <c r="V65" s="147"/>
      <c r="W65" s="115"/>
      <c r="X65" s="115"/>
      <c r="Y65" s="115"/>
      <c r="Z65" s="144"/>
      <c r="AA65" s="114"/>
      <c r="AB65" s="144"/>
      <c r="AC65" s="114"/>
      <c r="AD65" s="144"/>
      <c r="AE65" s="144"/>
      <c r="AF65" s="114"/>
      <c r="AG65" s="60"/>
    </row>
    <row r="66" spans="1:33" s="88" customFormat="1" ht="15" x14ac:dyDescent="0.2">
      <c r="A66" s="59"/>
      <c r="B66" s="114"/>
      <c r="C66" s="114"/>
      <c r="D66" s="138"/>
      <c r="E66" s="138"/>
      <c r="F66" s="138"/>
      <c r="G66" s="138"/>
      <c r="H66" s="138"/>
      <c r="I66" s="138"/>
      <c r="J66" s="138" t="str">
        <f t="shared" si="0"/>
        <v/>
      </c>
      <c r="K66" s="141"/>
      <c r="L66" s="141"/>
      <c r="M66" s="144"/>
      <c r="N66" s="144"/>
      <c r="O66" s="144"/>
      <c r="P66" s="144"/>
      <c r="Q66" s="144"/>
      <c r="R66" s="144"/>
      <c r="S66" s="147"/>
      <c r="T66" s="147"/>
      <c r="U66" s="147"/>
      <c r="V66" s="147"/>
      <c r="W66" s="115"/>
      <c r="X66" s="115"/>
      <c r="Y66" s="115"/>
      <c r="Z66" s="144"/>
      <c r="AA66" s="114"/>
      <c r="AB66" s="144"/>
      <c r="AC66" s="114"/>
      <c r="AD66" s="144"/>
      <c r="AE66" s="144"/>
      <c r="AF66" s="114"/>
      <c r="AG66" s="60"/>
    </row>
    <row r="67" spans="1:33" s="88" customFormat="1" ht="15" x14ac:dyDescent="0.2">
      <c r="A67" s="59"/>
      <c r="B67" s="114"/>
      <c r="C67" s="114"/>
      <c r="D67" s="138"/>
      <c r="E67" s="138"/>
      <c r="F67" s="138"/>
      <c r="G67" s="138"/>
      <c r="H67" s="138"/>
      <c r="I67" s="138"/>
      <c r="J67" s="138" t="str">
        <f t="shared" si="0"/>
        <v/>
      </c>
      <c r="K67" s="141"/>
      <c r="L67" s="141"/>
      <c r="M67" s="144"/>
      <c r="N67" s="144"/>
      <c r="O67" s="144"/>
      <c r="P67" s="144"/>
      <c r="Q67" s="144"/>
      <c r="R67" s="144"/>
      <c r="S67" s="147"/>
      <c r="T67" s="147"/>
      <c r="U67" s="147"/>
      <c r="V67" s="147"/>
      <c r="W67" s="115"/>
      <c r="X67" s="115"/>
      <c r="Y67" s="115"/>
      <c r="Z67" s="144"/>
      <c r="AA67" s="114"/>
      <c r="AB67" s="144"/>
      <c r="AC67" s="114"/>
      <c r="AD67" s="144"/>
      <c r="AE67" s="144"/>
      <c r="AF67" s="114"/>
      <c r="AG67" s="60"/>
    </row>
    <row r="68" spans="1:33" s="88" customFormat="1" ht="15" x14ac:dyDescent="0.2">
      <c r="A68" s="59"/>
      <c r="B68" s="114"/>
      <c r="C68" s="114"/>
      <c r="D68" s="138"/>
      <c r="E68" s="138"/>
      <c r="F68" s="138"/>
      <c r="G68" s="138"/>
      <c r="H68" s="138"/>
      <c r="I68" s="138"/>
      <c r="J68" s="138" t="str">
        <f t="shared" si="0"/>
        <v/>
      </c>
      <c r="K68" s="141"/>
      <c r="L68" s="141"/>
      <c r="M68" s="144"/>
      <c r="N68" s="144"/>
      <c r="O68" s="144"/>
      <c r="P68" s="144"/>
      <c r="Q68" s="144"/>
      <c r="R68" s="144"/>
      <c r="S68" s="147"/>
      <c r="T68" s="147"/>
      <c r="U68" s="147"/>
      <c r="V68" s="147"/>
      <c r="W68" s="115"/>
      <c r="X68" s="115"/>
      <c r="Y68" s="115"/>
      <c r="Z68" s="144"/>
      <c r="AA68" s="114"/>
      <c r="AB68" s="144"/>
      <c r="AC68" s="114"/>
      <c r="AD68" s="144"/>
      <c r="AE68" s="144"/>
      <c r="AF68" s="114"/>
      <c r="AG68" s="60"/>
    </row>
    <row r="69" spans="1:33" s="88" customFormat="1" ht="15" x14ac:dyDescent="0.2">
      <c r="A69" s="59"/>
      <c r="B69" s="114"/>
      <c r="C69" s="114"/>
      <c r="D69" s="138"/>
      <c r="E69" s="138"/>
      <c r="F69" s="138"/>
      <c r="G69" s="138"/>
      <c r="H69" s="138"/>
      <c r="I69" s="138"/>
      <c r="J69" s="138" t="str">
        <f t="shared" si="0"/>
        <v/>
      </c>
      <c r="K69" s="141"/>
      <c r="L69" s="141"/>
      <c r="M69" s="144"/>
      <c r="N69" s="144"/>
      <c r="O69" s="144"/>
      <c r="P69" s="144"/>
      <c r="Q69" s="144"/>
      <c r="R69" s="144"/>
      <c r="S69" s="147"/>
      <c r="T69" s="147"/>
      <c r="U69" s="147"/>
      <c r="V69" s="147"/>
      <c r="W69" s="115"/>
      <c r="X69" s="115"/>
      <c r="Y69" s="115"/>
      <c r="Z69" s="144"/>
      <c r="AA69" s="114"/>
      <c r="AB69" s="144"/>
      <c r="AC69" s="114"/>
      <c r="AD69" s="144"/>
      <c r="AE69" s="144"/>
      <c r="AF69" s="114"/>
      <c r="AG69" s="60"/>
    </row>
    <row r="70" spans="1:33" s="88" customFormat="1" ht="15" x14ac:dyDescent="0.2">
      <c r="A70" s="59"/>
      <c r="B70" s="114"/>
      <c r="C70" s="114"/>
      <c r="D70" s="138"/>
      <c r="E70" s="138"/>
      <c r="F70" s="138"/>
      <c r="G70" s="138"/>
      <c r="H70" s="138"/>
      <c r="I70" s="138"/>
      <c r="J70" s="138" t="str">
        <f t="shared" si="0"/>
        <v/>
      </c>
      <c r="K70" s="141"/>
      <c r="L70" s="141"/>
      <c r="M70" s="144"/>
      <c r="N70" s="144"/>
      <c r="O70" s="144"/>
      <c r="P70" s="144"/>
      <c r="Q70" s="144"/>
      <c r="R70" s="144"/>
      <c r="S70" s="147"/>
      <c r="T70" s="147"/>
      <c r="U70" s="147"/>
      <c r="V70" s="147"/>
      <c r="W70" s="115"/>
      <c r="X70" s="115"/>
      <c r="Y70" s="115"/>
      <c r="Z70" s="144"/>
      <c r="AA70" s="114"/>
      <c r="AB70" s="144"/>
      <c r="AC70" s="114"/>
      <c r="AD70" s="144"/>
      <c r="AE70" s="144"/>
      <c r="AF70" s="114"/>
      <c r="AG70" s="60"/>
    </row>
    <row r="71" spans="1:33" s="88" customFormat="1" ht="15" x14ac:dyDescent="0.2">
      <c r="A71" s="59"/>
      <c r="B71" s="114"/>
      <c r="C71" s="114"/>
      <c r="D71" s="138"/>
      <c r="E71" s="138"/>
      <c r="F71" s="138"/>
      <c r="G71" s="138"/>
      <c r="H71" s="138"/>
      <c r="I71" s="138"/>
      <c r="J71" s="138" t="str">
        <f t="shared" si="0"/>
        <v/>
      </c>
      <c r="K71" s="141"/>
      <c r="L71" s="141"/>
      <c r="M71" s="144"/>
      <c r="N71" s="144"/>
      <c r="O71" s="144"/>
      <c r="P71" s="144"/>
      <c r="Q71" s="144"/>
      <c r="R71" s="144"/>
      <c r="S71" s="147"/>
      <c r="T71" s="147"/>
      <c r="U71" s="147"/>
      <c r="V71" s="147"/>
      <c r="W71" s="115"/>
      <c r="X71" s="115"/>
      <c r="Y71" s="115"/>
      <c r="Z71" s="144"/>
      <c r="AA71" s="114"/>
      <c r="AB71" s="144"/>
      <c r="AC71" s="114"/>
      <c r="AD71" s="144"/>
      <c r="AE71" s="144"/>
      <c r="AF71" s="114"/>
      <c r="AG71" s="60"/>
    </row>
    <row r="72" spans="1:33" s="88" customFormat="1" ht="15" x14ac:dyDescent="0.2">
      <c r="A72" s="59"/>
      <c r="B72" s="114"/>
      <c r="C72" s="114"/>
      <c r="D72" s="138"/>
      <c r="E72" s="138"/>
      <c r="F72" s="138"/>
      <c r="G72" s="138"/>
      <c r="H72" s="138"/>
      <c r="I72" s="138"/>
      <c r="J72" s="138" t="str">
        <f t="shared" si="0"/>
        <v/>
      </c>
      <c r="K72" s="141"/>
      <c r="L72" s="141"/>
      <c r="M72" s="144"/>
      <c r="N72" s="144"/>
      <c r="O72" s="144"/>
      <c r="P72" s="144"/>
      <c r="Q72" s="144"/>
      <c r="R72" s="144"/>
      <c r="S72" s="147"/>
      <c r="T72" s="147"/>
      <c r="U72" s="147"/>
      <c r="V72" s="147"/>
      <c r="W72" s="115"/>
      <c r="X72" s="115"/>
      <c r="Y72" s="115"/>
      <c r="Z72" s="144"/>
      <c r="AA72" s="114"/>
      <c r="AB72" s="144"/>
      <c r="AC72" s="114"/>
      <c r="AD72" s="144"/>
      <c r="AE72" s="144"/>
      <c r="AF72" s="114"/>
      <c r="AG72" s="60"/>
    </row>
    <row r="73" spans="1:33" s="88" customFormat="1" ht="15" x14ac:dyDescent="0.2">
      <c r="A73" s="59"/>
      <c r="B73" s="114"/>
      <c r="C73" s="114"/>
      <c r="D73" s="138"/>
      <c r="E73" s="138"/>
      <c r="F73" s="138"/>
      <c r="G73" s="138"/>
      <c r="H73" s="138"/>
      <c r="I73" s="138"/>
      <c r="J73" s="138" t="str">
        <f t="shared" si="0"/>
        <v/>
      </c>
      <c r="K73" s="141"/>
      <c r="L73" s="141"/>
      <c r="M73" s="144"/>
      <c r="N73" s="144"/>
      <c r="O73" s="144"/>
      <c r="P73" s="144"/>
      <c r="Q73" s="144"/>
      <c r="R73" s="144"/>
      <c r="S73" s="147"/>
      <c r="T73" s="147"/>
      <c r="U73" s="147"/>
      <c r="V73" s="147"/>
      <c r="W73" s="115"/>
      <c r="X73" s="115"/>
      <c r="Y73" s="115"/>
      <c r="Z73" s="144"/>
      <c r="AA73" s="114"/>
      <c r="AB73" s="144"/>
      <c r="AC73" s="114"/>
      <c r="AD73" s="144"/>
      <c r="AE73" s="144"/>
      <c r="AF73" s="114"/>
      <c r="AG73" s="60"/>
    </row>
    <row r="74" spans="1:33" s="88" customFormat="1" ht="15" x14ac:dyDescent="0.2">
      <c r="A74" s="59"/>
      <c r="B74" s="114"/>
      <c r="C74" s="114"/>
      <c r="D74" s="138"/>
      <c r="E74" s="138"/>
      <c r="F74" s="138"/>
      <c r="G74" s="138"/>
      <c r="H74" s="138"/>
      <c r="I74" s="138"/>
      <c r="J74" s="138" t="str">
        <f t="shared" si="0"/>
        <v/>
      </c>
      <c r="K74" s="141"/>
      <c r="L74" s="141"/>
      <c r="M74" s="144"/>
      <c r="N74" s="144"/>
      <c r="O74" s="144"/>
      <c r="P74" s="144"/>
      <c r="Q74" s="144"/>
      <c r="R74" s="144"/>
      <c r="S74" s="147"/>
      <c r="T74" s="147"/>
      <c r="U74" s="147"/>
      <c r="V74" s="147"/>
      <c r="W74" s="115"/>
      <c r="X74" s="115"/>
      <c r="Y74" s="115"/>
      <c r="Z74" s="144"/>
      <c r="AA74" s="114"/>
      <c r="AB74" s="144"/>
      <c r="AC74" s="114"/>
      <c r="AD74" s="144"/>
      <c r="AE74" s="144"/>
      <c r="AF74" s="114"/>
      <c r="AG74" s="60"/>
    </row>
    <row r="75" spans="1:33" s="88" customFormat="1" ht="15" x14ac:dyDescent="0.2">
      <c r="A75" s="59"/>
      <c r="B75" s="114"/>
      <c r="C75" s="114"/>
      <c r="D75" s="138"/>
      <c r="E75" s="138"/>
      <c r="F75" s="138"/>
      <c r="G75" s="138"/>
      <c r="H75" s="138"/>
      <c r="I75" s="138"/>
      <c r="J75" s="138" t="str">
        <f t="shared" si="0"/>
        <v/>
      </c>
      <c r="K75" s="141"/>
      <c r="L75" s="141"/>
      <c r="M75" s="144"/>
      <c r="N75" s="144"/>
      <c r="O75" s="144"/>
      <c r="P75" s="144"/>
      <c r="Q75" s="144"/>
      <c r="R75" s="144"/>
      <c r="S75" s="147"/>
      <c r="T75" s="147"/>
      <c r="U75" s="147"/>
      <c r="V75" s="147"/>
      <c r="W75" s="115"/>
      <c r="X75" s="115"/>
      <c r="Y75" s="115"/>
      <c r="Z75" s="144"/>
      <c r="AA75" s="114"/>
      <c r="AB75" s="144"/>
      <c r="AC75" s="114"/>
      <c r="AD75" s="144"/>
      <c r="AE75" s="144"/>
      <c r="AF75" s="114"/>
      <c r="AG75" s="60"/>
    </row>
    <row r="76" spans="1:33" s="88" customFormat="1" ht="15" x14ac:dyDescent="0.2">
      <c r="A76" s="59"/>
      <c r="B76" s="114"/>
      <c r="C76" s="114"/>
      <c r="D76" s="138"/>
      <c r="E76" s="138"/>
      <c r="F76" s="138"/>
      <c r="G76" s="138"/>
      <c r="H76" s="138"/>
      <c r="I76" s="138"/>
      <c r="J76" s="138" t="str">
        <f t="shared" si="0"/>
        <v/>
      </c>
      <c r="K76" s="141"/>
      <c r="L76" s="141"/>
      <c r="M76" s="144"/>
      <c r="N76" s="144"/>
      <c r="O76" s="144"/>
      <c r="P76" s="144"/>
      <c r="Q76" s="144"/>
      <c r="R76" s="144"/>
      <c r="S76" s="147"/>
      <c r="T76" s="147"/>
      <c r="U76" s="147"/>
      <c r="V76" s="147"/>
      <c r="W76" s="115"/>
      <c r="X76" s="115"/>
      <c r="Y76" s="115"/>
      <c r="Z76" s="144"/>
      <c r="AA76" s="114"/>
      <c r="AB76" s="144"/>
      <c r="AC76" s="114"/>
      <c r="AD76" s="144"/>
      <c r="AE76" s="144"/>
      <c r="AF76" s="114"/>
      <c r="AG76" s="60"/>
    </row>
    <row r="77" spans="1:33" s="88" customFormat="1" ht="15" x14ac:dyDescent="0.2">
      <c r="A77" s="59"/>
      <c r="B77" s="114"/>
      <c r="C77" s="114"/>
      <c r="D77" s="138"/>
      <c r="E77" s="138"/>
      <c r="F77" s="138"/>
      <c r="G77" s="138"/>
      <c r="H77" s="138"/>
      <c r="I77" s="138"/>
      <c r="J77" s="138" t="str">
        <f t="shared" si="0"/>
        <v/>
      </c>
      <c r="K77" s="141"/>
      <c r="L77" s="141"/>
      <c r="M77" s="144"/>
      <c r="N77" s="144"/>
      <c r="O77" s="144"/>
      <c r="P77" s="144"/>
      <c r="Q77" s="144"/>
      <c r="R77" s="144"/>
      <c r="S77" s="147"/>
      <c r="T77" s="147"/>
      <c r="U77" s="147"/>
      <c r="V77" s="147"/>
      <c r="W77" s="115"/>
      <c r="X77" s="115"/>
      <c r="Y77" s="115"/>
      <c r="Z77" s="144"/>
      <c r="AA77" s="114"/>
      <c r="AB77" s="144"/>
      <c r="AC77" s="114"/>
      <c r="AD77" s="144"/>
      <c r="AE77" s="144"/>
      <c r="AF77" s="114"/>
      <c r="AG77" s="60"/>
    </row>
    <row r="78" spans="1:33" s="88" customFormat="1" ht="15" x14ac:dyDescent="0.2">
      <c r="A78" s="59"/>
      <c r="B78" s="114"/>
      <c r="C78" s="114"/>
      <c r="D78" s="138"/>
      <c r="E78" s="138"/>
      <c r="F78" s="138"/>
      <c r="G78" s="138"/>
      <c r="H78" s="138"/>
      <c r="I78" s="138"/>
      <c r="J78" s="138" t="str">
        <f t="shared" si="0"/>
        <v/>
      </c>
      <c r="K78" s="141"/>
      <c r="L78" s="141"/>
      <c r="M78" s="144"/>
      <c r="N78" s="144"/>
      <c r="O78" s="144"/>
      <c r="P78" s="144"/>
      <c r="Q78" s="144"/>
      <c r="R78" s="144"/>
      <c r="S78" s="147"/>
      <c r="T78" s="147"/>
      <c r="U78" s="147"/>
      <c r="V78" s="147"/>
      <c r="W78" s="115"/>
      <c r="X78" s="115"/>
      <c r="Y78" s="115"/>
      <c r="Z78" s="144"/>
      <c r="AA78" s="114"/>
      <c r="AB78" s="144"/>
      <c r="AC78" s="114"/>
      <c r="AD78" s="144"/>
      <c r="AE78" s="144"/>
      <c r="AF78" s="114"/>
      <c r="AG78" s="60"/>
    </row>
    <row r="79" spans="1:33" s="88" customFormat="1" ht="15" x14ac:dyDescent="0.2">
      <c r="A79" s="59"/>
      <c r="B79" s="114"/>
      <c r="C79" s="114"/>
      <c r="D79" s="138"/>
      <c r="E79" s="138"/>
      <c r="F79" s="138"/>
      <c r="G79" s="138"/>
      <c r="H79" s="138"/>
      <c r="I79" s="138"/>
      <c r="J79" s="138" t="str">
        <f t="shared" si="0"/>
        <v/>
      </c>
      <c r="K79" s="141"/>
      <c r="L79" s="141"/>
      <c r="M79" s="144"/>
      <c r="N79" s="144"/>
      <c r="O79" s="144"/>
      <c r="P79" s="144"/>
      <c r="Q79" s="144"/>
      <c r="R79" s="144"/>
      <c r="S79" s="147"/>
      <c r="T79" s="147"/>
      <c r="U79" s="147"/>
      <c r="V79" s="147"/>
      <c r="W79" s="115"/>
      <c r="X79" s="115"/>
      <c r="Y79" s="115"/>
      <c r="Z79" s="144"/>
      <c r="AA79" s="114"/>
      <c r="AB79" s="144"/>
      <c r="AC79" s="114"/>
      <c r="AD79" s="144"/>
      <c r="AE79" s="144"/>
      <c r="AF79" s="114"/>
      <c r="AG79" s="60"/>
    </row>
    <row r="80" spans="1:33" s="88" customFormat="1" ht="15" x14ac:dyDescent="0.2">
      <c r="A80" s="59"/>
      <c r="B80" s="114"/>
      <c r="C80" s="114"/>
      <c r="D80" s="138"/>
      <c r="E80" s="138"/>
      <c r="F80" s="138"/>
      <c r="G80" s="138"/>
      <c r="H80" s="138"/>
      <c r="I80" s="138"/>
      <c r="J80" s="138" t="str">
        <f t="shared" si="0"/>
        <v/>
      </c>
      <c r="K80" s="141"/>
      <c r="L80" s="141"/>
      <c r="M80" s="144"/>
      <c r="N80" s="144"/>
      <c r="O80" s="144"/>
      <c r="P80" s="144"/>
      <c r="Q80" s="144"/>
      <c r="R80" s="144"/>
      <c r="S80" s="147"/>
      <c r="T80" s="147"/>
      <c r="U80" s="147"/>
      <c r="V80" s="147"/>
      <c r="W80" s="115"/>
      <c r="X80" s="115"/>
      <c r="Y80" s="115"/>
      <c r="Z80" s="144"/>
      <c r="AA80" s="114"/>
      <c r="AB80" s="144"/>
      <c r="AC80" s="114"/>
      <c r="AD80" s="144"/>
      <c r="AE80" s="144"/>
      <c r="AF80" s="114"/>
      <c r="AG80" s="60"/>
    </row>
    <row r="81" spans="1:33" s="88" customFormat="1" ht="15" x14ac:dyDescent="0.2">
      <c r="A81" s="59"/>
      <c r="B81" s="114"/>
      <c r="C81" s="114"/>
      <c r="D81" s="138"/>
      <c r="E81" s="138"/>
      <c r="F81" s="138"/>
      <c r="G81" s="138"/>
      <c r="H81" s="138"/>
      <c r="I81" s="138"/>
      <c r="J81" s="138" t="str">
        <f t="shared" si="0"/>
        <v/>
      </c>
      <c r="K81" s="141"/>
      <c r="L81" s="141"/>
      <c r="M81" s="144"/>
      <c r="N81" s="144"/>
      <c r="O81" s="144"/>
      <c r="P81" s="144"/>
      <c r="Q81" s="144"/>
      <c r="R81" s="144"/>
      <c r="S81" s="147"/>
      <c r="T81" s="147"/>
      <c r="U81" s="147"/>
      <c r="V81" s="147"/>
      <c r="W81" s="115"/>
      <c r="X81" s="115"/>
      <c r="Y81" s="115"/>
      <c r="Z81" s="144"/>
      <c r="AA81" s="114"/>
      <c r="AB81" s="144"/>
      <c r="AC81" s="114"/>
      <c r="AD81" s="144"/>
      <c r="AE81" s="144"/>
      <c r="AF81" s="114"/>
      <c r="AG81" s="60"/>
    </row>
    <row r="82" spans="1:33" s="88" customFormat="1" ht="15" x14ac:dyDescent="0.2">
      <c r="A82" s="59"/>
      <c r="B82" s="114"/>
      <c r="C82" s="114"/>
      <c r="D82" s="138"/>
      <c r="E82" s="138"/>
      <c r="F82" s="138"/>
      <c r="G82" s="138"/>
      <c r="H82" s="138"/>
      <c r="I82" s="138"/>
      <c r="J82" s="138" t="str">
        <f t="shared" si="0"/>
        <v/>
      </c>
      <c r="K82" s="141"/>
      <c r="L82" s="141"/>
      <c r="M82" s="144"/>
      <c r="N82" s="144"/>
      <c r="O82" s="144"/>
      <c r="P82" s="144"/>
      <c r="Q82" s="144"/>
      <c r="R82" s="144"/>
      <c r="S82" s="147"/>
      <c r="T82" s="147"/>
      <c r="U82" s="147"/>
      <c r="V82" s="147"/>
      <c r="W82" s="115"/>
      <c r="X82" s="115"/>
      <c r="Y82" s="115"/>
      <c r="Z82" s="144"/>
      <c r="AA82" s="114"/>
      <c r="AB82" s="144"/>
      <c r="AC82" s="114"/>
      <c r="AD82" s="144"/>
      <c r="AE82" s="144"/>
      <c r="AF82" s="114"/>
      <c r="AG82" s="60"/>
    </row>
    <row r="83" spans="1:33" s="88" customFormat="1" ht="15" x14ac:dyDescent="0.2">
      <c r="A83" s="59"/>
      <c r="B83" s="114"/>
      <c r="C83" s="114"/>
      <c r="D83" s="138"/>
      <c r="E83" s="138"/>
      <c r="F83" s="138"/>
      <c r="G83" s="138"/>
      <c r="H83" s="138"/>
      <c r="I83" s="138"/>
      <c r="J83" s="138" t="str">
        <f t="shared" si="0"/>
        <v/>
      </c>
      <c r="K83" s="141"/>
      <c r="L83" s="141"/>
      <c r="M83" s="144"/>
      <c r="N83" s="144"/>
      <c r="O83" s="144"/>
      <c r="P83" s="144"/>
      <c r="Q83" s="144"/>
      <c r="R83" s="144"/>
      <c r="S83" s="147"/>
      <c r="T83" s="147"/>
      <c r="U83" s="147"/>
      <c r="V83" s="147"/>
      <c r="W83" s="115"/>
      <c r="X83" s="115"/>
      <c r="Y83" s="115"/>
      <c r="Z83" s="144"/>
      <c r="AA83" s="114"/>
      <c r="AB83" s="144"/>
      <c r="AC83" s="114"/>
      <c r="AD83" s="144"/>
      <c r="AE83" s="144"/>
      <c r="AF83" s="114"/>
      <c r="AG83" s="60"/>
    </row>
    <row r="84" spans="1:33" ht="15" x14ac:dyDescent="0.2">
      <c r="A84" s="59"/>
      <c r="B84" s="114"/>
      <c r="C84" s="114"/>
      <c r="D84" s="138"/>
      <c r="E84" s="138"/>
      <c r="F84" s="138"/>
      <c r="G84" s="138"/>
      <c r="H84" s="138"/>
      <c r="I84" s="138"/>
      <c r="J84" s="138" t="str">
        <f t="shared" si="0"/>
        <v/>
      </c>
      <c r="K84" s="141"/>
      <c r="L84" s="141"/>
      <c r="M84" s="144"/>
      <c r="N84" s="144"/>
      <c r="O84" s="144"/>
      <c r="P84" s="144"/>
      <c r="Q84" s="144"/>
      <c r="R84" s="144"/>
      <c r="S84" s="147"/>
      <c r="T84" s="147"/>
      <c r="U84" s="147"/>
      <c r="V84" s="147"/>
      <c r="W84" s="115"/>
      <c r="X84" s="115"/>
      <c r="Y84" s="115"/>
      <c r="Z84" s="144"/>
      <c r="AA84" s="114"/>
      <c r="AB84" s="149"/>
      <c r="AC84" s="116"/>
      <c r="AD84" s="149"/>
      <c r="AE84" s="149"/>
      <c r="AF84" s="114"/>
      <c r="AG84" s="60"/>
    </row>
    <row r="85" spans="1:33" ht="15.75" thickBot="1" x14ac:dyDescent="0.25">
      <c r="A85" s="59"/>
      <c r="B85" s="117"/>
      <c r="C85" s="117"/>
      <c r="D85" s="139"/>
      <c r="E85" s="139"/>
      <c r="F85" s="139"/>
      <c r="G85" s="139"/>
      <c r="H85" s="139"/>
      <c r="I85" s="139"/>
      <c r="J85" s="138" t="str">
        <f t="shared" ref="J85" si="1">IF(OR(H85="",G85=""),"",H85-G85)</f>
        <v/>
      </c>
      <c r="K85" s="142"/>
      <c r="L85" s="142"/>
      <c r="M85" s="145"/>
      <c r="N85" s="145"/>
      <c r="O85" s="145"/>
      <c r="P85" s="145"/>
      <c r="Q85" s="145"/>
      <c r="R85" s="145"/>
      <c r="S85" s="148"/>
      <c r="T85" s="148"/>
      <c r="U85" s="148"/>
      <c r="V85" s="148"/>
      <c r="W85" s="118"/>
      <c r="X85" s="118"/>
      <c r="Y85" s="118"/>
      <c r="Z85" s="145"/>
      <c r="AA85" s="117"/>
      <c r="AB85" s="145"/>
      <c r="AC85" s="117"/>
      <c r="AD85" s="145"/>
      <c r="AE85" s="145"/>
      <c r="AF85" s="117"/>
      <c r="AG85" s="60"/>
    </row>
    <row r="86" spans="1:33" ht="15.75" thickBot="1" x14ac:dyDescent="0.25">
      <c r="A86" s="95"/>
      <c r="B86" s="107"/>
      <c r="C86" s="107"/>
      <c r="D86" s="107"/>
      <c r="E86" s="107"/>
      <c r="F86" s="108"/>
      <c r="G86" s="109"/>
      <c r="H86" s="109"/>
      <c r="I86" s="109"/>
      <c r="J86" s="109"/>
      <c r="K86" s="110"/>
      <c r="L86" s="110"/>
      <c r="M86" s="110"/>
      <c r="N86" s="111"/>
      <c r="O86" s="111"/>
      <c r="P86" s="111"/>
      <c r="Q86" s="111"/>
      <c r="R86" s="111"/>
      <c r="S86" s="111"/>
      <c r="T86" s="111"/>
      <c r="U86" s="111"/>
      <c r="V86" s="111"/>
      <c r="W86" s="111"/>
      <c r="X86" s="111"/>
      <c r="Y86" s="111"/>
      <c r="Z86" s="111"/>
      <c r="AA86" s="107"/>
      <c r="AB86" s="107"/>
      <c r="AC86" s="107"/>
      <c r="AD86" s="130"/>
      <c r="AE86" s="130"/>
      <c r="AF86" s="130"/>
      <c r="AG86" s="96"/>
    </row>
    <row r="87" spans="1:33" ht="15.75" thickTop="1" x14ac:dyDescent="0.2">
      <c r="A87" s="59"/>
      <c r="B87" s="53"/>
      <c r="C87" s="53"/>
      <c r="D87" s="53"/>
      <c r="E87" s="53"/>
      <c r="F87" s="84"/>
      <c r="G87" s="85"/>
      <c r="H87" s="85"/>
      <c r="I87" s="85"/>
      <c r="J87" s="85"/>
      <c r="K87" s="86"/>
      <c r="L87" s="86"/>
      <c r="M87" s="86"/>
      <c r="N87" s="87"/>
      <c r="O87" s="87"/>
      <c r="P87" s="87"/>
      <c r="Q87" s="87"/>
      <c r="R87" s="87"/>
      <c r="S87" s="87"/>
      <c r="T87" s="87"/>
      <c r="U87" s="87"/>
      <c r="V87" s="87"/>
      <c r="W87" s="87"/>
      <c r="X87" s="87"/>
      <c r="Y87" s="87"/>
      <c r="Z87" s="87"/>
      <c r="AA87" s="87"/>
      <c r="AB87" s="53"/>
      <c r="AC87" s="53"/>
      <c r="AD87" s="53"/>
      <c r="AE87" s="53"/>
      <c r="AF87" s="53"/>
    </row>
    <row r="88" spans="1:33" ht="15" x14ac:dyDescent="0.2">
      <c r="A88" s="59"/>
      <c r="B88" s="53"/>
      <c r="C88" s="53"/>
      <c r="D88" s="53"/>
      <c r="E88" s="53"/>
      <c r="F88" s="84"/>
      <c r="G88" s="85"/>
      <c r="H88" s="85"/>
      <c r="I88" s="85"/>
      <c r="J88" s="85"/>
      <c r="K88" s="86"/>
      <c r="L88" s="86"/>
      <c r="M88" s="86"/>
      <c r="N88" s="87"/>
      <c r="O88" s="87"/>
      <c r="P88" s="87"/>
      <c r="Q88" s="87"/>
      <c r="R88" s="87"/>
      <c r="S88" s="87"/>
      <c r="T88" s="87"/>
      <c r="U88" s="87"/>
      <c r="V88" s="87"/>
      <c r="W88" s="87"/>
      <c r="X88" s="87"/>
      <c r="Y88" s="87"/>
      <c r="Z88" s="87"/>
      <c r="AA88" s="87"/>
      <c r="AB88" s="53"/>
      <c r="AC88" s="53"/>
      <c r="AD88" s="53"/>
      <c r="AE88" s="53"/>
      <c r="AF88" s="53"/>
    </row>
    <row r="89" spans="1:33" ht="15" x14ac:dyDescent="0.2">
      <c r="A89" s="59"/>
      <c r="B89" s="53"/>
      <c r="C89" s="53"/>
      <c r="D89" s="53"/>
      <c r="E89" s="53"/>
      <c r="F89" s="84"/>
      <c r="G89" s="85"/>
      <c r="H89" s="85"/>
      <c r="I89" s="85"/>
      <c r="J89" s="85"/>
      <c r="K89" s="86"/>
      <c r="L89" s="86"/>
      <c r="M89" s="86"/>
      <c r="N89" s="87"/>
      <c r="O89" s="87"/>
      <c r="P89" s="87"/>
      <c r="Q89" s="87"/>
      <c r="R89" s="87"/>
      <c r="S89" s="87"/>
      <c r="T89" s="87"/>
      <c r="U89" s="87"/>
      <c r="V89" s="87"/>
      <c r="W89" s="87"/>
      <c r="X89" s="87"/>
      <c r="Y89" s="87"/>
      <c r="Z89" s="87"/>
      <c r="AA89" s="87"/>
      <c r="AB89" s="53"/>
      <c r="AC89" s="53"/>
      <c r="AD89" s="53"/>
      <c r="AE89" s="53"/>
      <c r="AF89" s="53"/>
    </row>
    <row r="90" spans="1:33" ht="15" x14ac:dyDescent="0.2">
      <c r="A90" s="59"/>
      <c r="B90" s="53"/>
      <c r="C90" s="53"/>
      <c r="D90" s="53"/>
      <c r="E90" s="53"/>
      <c r="F90" s="84"/>
      <c r="G90" s="85"/>
      <c r="H90" s="85"/>
      <c r="I90" s="85"/>
      <c r="J90" s="85"/>
      <c r="K90" s="86"/>
      <c r="L90" s="86"/>
      <c r="M90" s="86"/>
      <c r="N90" s="87"/>
      <c r="O90" s="87"/>
      <c r="P90" s="87"/>
      <c r="Q90" s="87"/>
      <c r="R90" s="87"/>
      <c r="S90" s="87"/>
      <c r="T90" s="87"/>
      <c r="U90" s="87"/>
      <c r="V90" s="87"/>
      <c r="W90" s="87"/>
      <c r="X90" s="87"/>
      <c r="Y90" s="87"/>
      <c r="Z90" s="87"/>
      <c r="AA90" s="87"/>
      <c r="AB90" s="53"/>
      <c r="AC90" s="53"/>
      <c r="AD90" s="53"/>
      <c r="AE90" s="53"/>
      <c r="AF90" s="53"/>
    </row>
    <row r="91" spans="1:33" ht="15" x14ac:dyDescent="0.2">
      <c r="A91" s="59"/>
      <c r="B91" s="53"/>
      <c r="C91" s="53"/>
      <c r="D91" s="53"/>
      <c r="E91" s="53"/>
      <c r="F91" s="84"/>
      <c r="G91" s="85"/>
      <c r="H91" s="85"/>
      <c r="I91" s="85"/>
      <c r="J91" s="85"/>
      <c r="K91" s="86"/>
      <c r="L91" s="86"/>
      <c r="M91" s="86"/>
      <c r="N91" s="87"/>
      <c r="O91" s="87"/>
      <c r="P91" s="87"/>
      <c r="Q91" s="87"/>
      <c r="R91" s="87"/>
      <c r="S91" s="87"/>
      <c r="T91" s="87"/>
      <c r="U91" s="87"/>
      <c r="V91" s="87"/>
      <c r="W91" s="87"/>
      <c r="X91" s="87"/>
      <c r="Y91" s="87"/>
      <c r="Z91" s="87"/>
      <c r="AA91" s="87"/>
      <c r="AB91" s="53"/>
      <c r="AC91" s="53"/>
      <c r="AD91" s="53"/>
      <c r="AE91" s="53"/>
      <c r="AF91" s="53"/>
    </row>
    <row r="92" spans="1:33" ht="15" x14ac:dyDescent="0.2">
      <c r="A92" s="59"/>
      <c r="B92" s="53"/>
      <c r="C92" s="53"/>
      <c r="D92" s="53"/>
      <c r="E92" s="53"/>
      <c r="F92" s="84"/>
      <c r="G92" s="85"/>
      <c r="H92" s="85"/>
      <c r="I92" s="85"/>
      <c r="J92" s="85"/>
      <c r="K92" s="86"/>
      <c r="L92" s="86"/>
      <c r="M92" s="86"/>
      <c r="N92" s="87"/>
      <c r="O92" s="87"/>
      <c r="P92" s="87"/>
      <c r="Q92" s="87"/>
      <c r="R92" s="87"/>
      <c r="S92" s="87"/>
      <c r="T92" s="87"/>
      <c r="U92" s="87"/>
      <c r="V92" s="87"/>
      <c r="W92" s="87"/>
      <c r="X92" s="87"/>
      <c r="Y92" s="87"/>
      <c r="Z92" s="87"/>
      <c r="AA92" s="87"/>
      <c r="AB92" s="53"/>
      <c r="AC92" s="53"/>
      <c r="AD92" s="53"/>
      <c r="AE92" s="53"/>
      <c r="AF92" s="53"/>
    </row>
    <row r="93" spans="1:33" ht="15" x14ac:dyDescent="0.2">
      <c r="A93" s="59"/>
      <c r="B93" s="53"/>
      <c r="C93" s="53"/>
      <c r="D93" s="53"/>
      <c r="E93" s="53"/>
      <c r="F93" s="84"/>
      <c r="G93" s="85"/>
      <c r="H93" s="85"/>
      <c r="I93" s="85"/>
      <c r="J93" s="85"/>
      <c r="K93" s="86"/>
      <c r="L93" s="86"/>
      <c r="M93" s="86"/>
      <c r="N93" s="87"/>
      <c r="O93" s="87"/>
      <c r="P93" s="87"/>
      <c r="Q93" s="87"/>
      <c r="R93" s="87"/>
      <c r="S93" s="87"/>
      <c r="T93" s="87"/>
      <c r="U93" s="87"/>
      <c r="V93" s="87"/>
      <c r="W93" s="87"/>
      <c r="X93" s="87"/>
      <c r="Y93" s="87"/>
      <c r="Z93" s="87"/>
      <c r="AA93" s="87"/>
      <c r="AB93" s="53"/>
      <c r="AC93" s="53"/>
      <c r="AD93" s="53"/>
      <c r="AE93" s="53"/>
      <c r="AF93" s="53"/>
    </row>
    <row r="94" spans="1:33" ht="15" x14ac:dyDescent="0.2">
      <c r="A94" s="59"/>
      <c r="B94" s="53"/>
      <c r="C94" s="53"/>
      <c r="D94" s="53"/>
      <c r="E94" s="53"/>
      <c r="F94" s="84"/>
      <c r="G94" s="85"/>
      <c r="H94" s="85"/>
      <c r="I94" s="85"/>
      <c r="J94" s="85"/>
      <c r="K94" s="86"/>
      <c r="L94" s="86"/>
      <c r="M94" s="86"/>
      <c r="N94" s="87"/>
      <c r="O94" s="87"/>
      <c r="P94" s="87"/>
      <c r="Q94" s="87"/>
      <c r="R94" s="87"/>
      <c r="S94" s="87"/>
      <c r="T94" s="87"/>
      <c r="U94" s="87"/>
      <c r="V94" s="87"/>
      <c r="W94" s="87"/>
      <c r="X94" s="87"/>
      <c r="Y94" s="87"/>
      <c r="Z94" s="87"/>
      <c r="AA94" s="87"/>
      <c r="AB94" s="53"/>
      <c r="AC94" s="53"/>
      <c r="AD94" s="53"/>
      <c r="AE94" s="53"/>
      <c r="AF94" s="53"/>
    </row>
    <row r="95" spans="1:33" ht="15" x14ac:dyDescent="0.2">
      <c r="A95" s="59"/>
      <c r="B95" s="53"/>
      <c r="C95" s="53"/>
      <c r="D95" s="53"/>
      <c r="E95" s="53"/>
      <c r="F95" s="84"/>
      <c r="G95" s="85"/>
      <c r="H95" s="85"/>
      <c r="I95" s="85"/>
      <c r="J95" s="85"/>
      <c r="K95" s="86"/>
      <c r="L95" s="86"/>
      <c r="M95" s="86"/>
      <c r="N95" s="87"/>
      <c r="O95" s="87"/>
      <c r="P95" s="87"/>
      <c r="Q95" s="87"/>
      <c r="R95" s="87"/>
      <c r="S95" s="87"/>
      <c r="T95" s="87"/>
      <c r="U95" s="87"/>
      <c r="V95" s="87"/>
      <c r="W95" s="87"/>
      <c r="X95" s="87"/>
      <c r="Y95" s="87"/>
      <c r="Z95" s="87"/>
      <c r="AA95" s="87"/>
      <c r="AB95" s="53"/>
      <c r="AC95" s="53"/>
      <c r="AD95" s="53"/>
      <c r="AE95" s="53"/>
      <c r="AF95" s="53"/>
    </row>
    <row r="96" spans="1:33" ht="15" x14ac:dyDescent="0.2">
      <c r="A96" s="59"/>
      <c r="B96" s="53"/>
      <c r="C96" s="53"/>
      <c r="D96" s="53"/>
      <c r="E96" s="53"/>
      <c r="F96" s="84"/>
      <c r="G96" s="85"/>
      <c r="H96" s="85"/>
      <c r="I96" s="85"/>
      <c r="J96" s="85"/>
      <c r="K96" s="86"/>
      <c r="L96" s="86"/>
      <c r="M96" s="86"/>
      <c r="N96" s="87"/>
      <c r="O96" s="87"/>
      <c r="P96" s="87"/>
      <c r="Q96" s="87"/>
      <c r="R96" s="87"/>
      <c r="S96" s="87"/>
      <c r="T96" s="87"/>
      <c r="U96" s="87"/>
      <c r="V96" s="87"/>
      <c r="W96" s="87"/>
      <c r="X96" s="87"/>
      <c r="Y96" s="87"/>
      <c r="Z96" s="87"/>
      <c r="AA96" s="87"/>
      <c r="AB96" s="53"/>
      <c r="AC96" s="53"/>
      <c r="AD96" s="53"/>
      <c r="AE96" s="53"/>
      <c r="AF96" s="53"/>
    </row>
    <row r="97" spans="1:32" ht="15" x14ac:dyDescent="0.2">
      <c r="A97" s="59"/>
      <c r="B97" s="53"/>
      <c r="C97" s="53"/>
      <c r="D97" s="53"/>
      <c r="E97" s="53"/>
      <c r="F97" s="84"/>
      <c r="G97" s="85"/>
      <c r="H97" s="85"/>
      <c r="I97" s="85"/>
      <c r="J97" s="85"/>
      <c r="K97" s="86"/>
      <c r="L97" s="86"/>
      <c r="M97" s="86"/>
      <c r="N97" s="87"/>
      <c r="O97" s="87"/>
      <c r="P97" s="87"/>
      <c r="Q97" s="87"/>
      <c r="R97" s="87"/>
      <c r="S97" s="87"/>
      <c r="T97" s="87"/>
      <c r="U97" s="87"/>
      <c r="V97" s="87"/>
      <c r="W97" s="87"/>
      <c r="X97" s="87"/>
      <c r="Y97" s="87"/>
      <c r="Z97" s="87"/>
      <c r="AA97" s="87"/>
      <c r="AB97" s="53"/>
      <c r="AC97" s="53"/>
      <c r="AD97" s="53"/>
      <c r="AE97" s="53"/>
      <c r="AF97" s="53"/>
    </row>
    <row r="98" spans="1:32" ht="15" x14ac:dyDescent="0.2">
      <c r="A98" s="59"/>
      <c r="B98" s="53"/>
      <c r="C98" s="53"/>
      <c r="D98" s="53"/>
      <c r="E98" s="53"/>
      <c r="F98" s="84"/>
      <c r="G98" s="85"/>
      <c r="H98" s="85"/>
      <c r="I98" s="85"/>
      <c r="J98" s="85"/>
      <c r="K98" s="86"/>
      <c r="L98" s="86"/>
      <c r="M98" s="86"/>
      <c r="N98" s="87"/>
      <c r="O98" s="87"/>
      <c r="P98" s="87"/>
      <c r="Q98" s="87"/>
      <c r="R98" s="87"/>
      <c r="S98" s="87"/>
      <c r="T98" s="87"/>
      <c r="U98" s="87"/>
      <c r="V98" s="87"/>
      <c r="W98" s="87"/>
      <c r="X98" s="87"/>
      <c r="Y98" s="87"/>
      <c r="Z98" s="87"/>
      <c r="AA98" s="87"/>
      <c r="AB98" s="53"/>
      <c r="AC98" s="53"/>
      <c r="AD98" s="53"/>
      <c r="AE98" s="53"/>
      <c r="AF98" s="53"/>
    </row>
    <row r="99" spans="1:32" ht="15" x14ac:dyDescent="0.2">
      <c r="A99" s="59"/>
      <c r="B99" s="53"/>
      <c r="C99" s="53"/>
      <c r="D99" s="53"/>
      <c r="E99" s="53"/>
      <c r="F99" s="84"/>
      <c r="G99" s="85"/>
      <c r="H99" s="85"/>
      <c r="I99" s="85"/>
      <c r="J99" s="85"/>
      <c r="K99" s="86"/>
      <c r="L99" s="86"/>
      <c r="M99" s="86"/>
      <c r="N99" s="87"/>
      <c r="O99" s="87"/>
      <c r="P99" s="87"/>
      <c r="Q99" s="87"/>
      <c r="R99" s="87"/>
      <c r="S99" s="87"/>
      <c r="T99" s="87"/>
      <c r="U99" s="87"/>
      <c r="V99" s="87"/>
      <c r="W99" s="87"/>
      <c r="X99" s="87"/>
      <c r="Y99" s="87"/>
      <c r="Z99" s="87"/>
      <c r="AA99" s="87"/>
      <c r="AB99" s="53"/>
      <c r="AC99" s="53"/>
      <c r="AD99" s="53"/>
      <c r="AE99" s="53"/>
      <c r="AF99" s="53"/>
    </row>
    <row r="100" spans="1:32" ht="15" x14ac:dyDescent="0.2">
      <c r="A100" s="59"/>
      <c r="B100" s="53"/>
      <c r="C100" s="53"/>
      <c r="D100" s="53"/>
      <c r="E100" s="53"/>
      <c r="F100" s="84"/>
      <c r="G100" s="85"/>
      <c r="H100" s="85"/>
      <c r="I100" s="85"/>
      <c r="J100" s="85"/>
      <c r="K100" s="86"/>
      <c r="L100" s="86"/>
      <c r="M100" s="86"/>
      <c r="N100" s="87"/>
      <c r="O100" s="87"/>
      <c r="P100" s="87"/>
      <c r="Q100" s="87"/>
      <c r="R100" s="87"/>
      <c r="S100" s="87"/>
      <c r="T100" s="87"/>
      <c r="U100" s="87"/>
      <c r="V100" s="87"/>
      <c r="W100" s="87"/>
      <c r="X100" s="87"/>
      <c r="Y100" s="87"/>
      <c r="Z100" s="87"/>
      <c r="AA100" s="87"/>
      <c r="AB100" s="53"/>
      <c r="AC100" s="53"/>
      <c r="AD100" s="53"/>
      <c r="AE100" s="53"/>
      <c r="AF100" s="53"/>
    </row>
    <row r="101" spans="1:32" ht="15" x14ac:dyDescent="0.2">
      <c r="A101" s="59"/>
      <c r="B101" s="53"/>
      <c r="C101" s="53"/>
      <c r="D101" s="53"/>
      <c r="E101" s="53"/>
      <c r="F101" s="84"/>
      <c r="G101" s="85"/>
      <c r="H101" s="85"/>
      <c r="I101" s="85"/>
      <c r="J101" s="85"/>
      <c r="K101" s="86"/>
      <c r="L101" s="86"/>
      <c r="M101" s="86"/>
      <c r="N101" s="87"/>
      <c r="O101" s="87"/>
      <c r="P101" s="87"/>
      <c r="Q101" s="87"/>
      <c r="R101" s="87"/>
      <c r="S101" s="87"/>
      <c r="T101" s="87"/>
      <c r="U101" s="87"/>
      <c r="V101" s="87"/>
      <c r="W101" s="87"/>
      <c r="X101" s="87"/>
      <c r="Y101" s="87"/>
      <c r="Z101" s="87"/>
      <c r="AA101" s="87"/>
      <c r="AB101" s="53"/>
      <c r="AC101" s="53"/>
      <c r="AD101" s="53"/>
      <c r="AE101" s="53"/>
      <c r="AF101" s="53"/>
    </row>
    <row r="102" spans="1:32" ht="15" x14ac:dyDescent="0.2">
      <c r="A102" s="59"/>
      <c r="B102" s="53"/>
      <c r="C102" s="53"/>
      <c r="D102" s="53"/>
      <c r="E102" s="53"/>
      <c r="F102" s="84"/>
      <c r="G102" s="85"/>
      <c r="H102" s="85"/>
      <c r="I102" s="85"/>
      <c r="J102" s="85"/>
      <c r="K102" s="86"/>
      <c r="L102" s="86"/>
      <c r="M102" s="86"/>
      <c r="N102" s="87"/>
      <c r="O102" s="87"/>
      <c r="P102" s="87"/>
      <c r="Q102" s="87"/>
      <c r="R102" s="87"/>
      <c r="S102" s="87"/>
      <c r="T102" s="87"/>
      <c r="U102" s="87"/>
      <c r="V102" s="87"/>
      <c r="W102" s="87"/>
      <c r="X102" s="87"/>
      <c r="Y102" s="87"/>
      <c r="Z102" s="87"/>
      <c r="AA102" s="87"/>
      <c r="AB102" s="53"/>
      <c r="AC102" s="53"/>
      <c r="AD102" s="53"/>
      <c r="AE102" s="53"/>
      <c r="AF102" s="53"/>
    </row>
    <row r="103" spans="1:32" ht="15" x14ac:dyDescent="0.2">
      <c r="A103" s="59"/>
      <c r="B103" s="53"/>
      <c r="C103" s="53"/>
      <c r="D103" s="53"/>
      <c r="E103" s="53"/>
      <c r="F103" s="84"/>
      <c r="G103" s="85"/>
      <c r="H103" s="85"/>
      <c r="I103" s="85"/>
      <c r="J103" s="85"/>
      <c r="K103" s="86"/>
      <c r="L103" s="86"/>
      <c r="M103" s="86"/>
      <c r="N103" s="87"/>
      <c r="O103" s="87"/>
      <c r="P103" s="87"/>
      <c r="Q103" s="87"/>
      <c r="R103" s="87"/>
      <c r="S103" s="87"/>
      <c r="T103" s="87"/>
      <c r="U103" s="87"/>
      <c r="V103" s="87"/>
      <c r="W103" s="87"/>
      <c r="X103" s="87"/>
      <c r="Y103" s="87"/>
      <c r="Z103" s="87"/>
      <c r="AA103" s="87"/>
      <c r="AB103" s="53"/>
      <c r="AC103" s="53"/>
      <c r="AD103" s="53"/>
      <c r="AE103" s="53"/>
      <c r="AF103" s="53"/>
    </row>
    <row r="104" spans="1:32" ht="15" x14ac:dyDescent="0.2">
      <c r="A104" s="59"/>
      <c r="B104" s="53"/>
      <c r="C104" s="53"/>
      <c r="D104" s="53"/>
      <c r="E104" s="53"/>
      <c r="F104" s="84"/>
      <c r="G104" s="85"/>
      <c r="H104" s="85"/>
      <c r="I104" s="85"/>
      <c r="J104" s="85"/>
      <c r="K104" s="86"/>
      <c r="L104" s="86"/>
      <c r="M104" s="86"/>
      <c r="N104" s="87"/>
      <c r="O104" s="87"/>
      <c r="P104" s="87"/>
      <c r="Q104" s="87"/>
      <c r="R104" s="87"/>
      <c r="S104" s="87"/>
      <c r="T104" s="87"/>
      <c r="U104" s="87"/>
      <c r="V104" s="87"/>
      <c r="W104" s="87"/>
      <c r="X104" s="87"/>
      <c r="Y104" s="87"/>
      <c r="Z104" s="87"/>
      <c r="AA104" s="87"/>
      <c r="AB104" s="53"/>
      <c r="AC104" s="53"/>
      <c r="AD104" s="53"/>
      <c r="AE104" s="53"/>
      <c r="AF104" s="53"/>
    </row>
    <row r="105" spans="1:32" ht="15" x14ac:dyDescent="0.2">
      <c r="A105" s="59"/>
      <c r="B105" s="53"/>
      <c r="C105" s="53"/>
      <c r="D105" s="53"/>
      <c r="E105" s="53"/>
      <c r="F105" s="84"/>
      <c r="G105" s="85"/>
      <c r="H105" s="85"/>
      <c r="I105" s="85"/>
      <c r="J105" s="85"/>
      <c r="K105" s="86"/>
      <c r="L105" s="86"/>
      <c r="M105" s="86"/>
      <c r="N105" s="87"/>
      <c r="O105" s="87"/>
      <c r="P105" s="87"/>
      <c r="Q105" s="87"/>
      <c r="R105" s="87"/>
      <c r="S105" s="87"/>
      <c r="T105" s="87"/>
      <c r="U105" s="87"/>
      <c r="V105" s="87"/>
      <c r="W105" s="87"/>
      <c r="X105" s="87"/>
      <c r="Y105" s="87"/>
      <c r="Z105" s="87"/>
      <c r="AA105" s="87"/>
      <c r="AB105" s="53"/>
      <c r="AC105" s="53"/>
      <c r="AD105" s="53"/>
      <c r="AE105" s="53"/>
      <c r="AF105" s="53"/>
    </row>
    <row r="106" spans="1:32" ht="15" x14ac:dyDescent="0.2">
      <c r="A106" s="59"/>
      <c r="B106" s="53"/>
      <c r="C106" s="53"/>
      <c r="D106" s="53"/>
      <c r="E106" s="53"/>
      <c r="F106" s="84"/>
      <c r="G106" s="85"/>
      <c r="H106" s="85"/>
      <c r="I106" s="85"/>
      <c r="J106" s="85"/>
      <c r="K106" s="86"/>
      <c r="L106" s="86"/>
      <c r="M106" s="86"/>
      <c r="N106" s="87"/>
      <c r="O106" s="87"/>
      <c r="P106" s="87"/>
      <c r="Q106" s="87"/>
      <c r="R106" s="87"/>
      <c r="S106" s="87"/>
      <c r="T106" s="87"/>
      <c r="U106" s="87"/>
      <c r="V106" s="87"/>
      <c r="W106" s="87"/>
      <c r="X106" s="87"/>
      <c r="Y106" s="87"/>
      <c r="Z106" s="87"/>
      <c r="AA106" s="87"/>
      <c r="AB106" s="53"/>
      <c r="AC106" s="53"/>
      <c r="AD106" s="53"/>
      <c r="AE106" s="53"/>
      <c r="AF106" s="53"/>
    </row>
    <row r="107" spans="1:32" ht="15" x14ac:dyDescent="0.2">
      <c r="A107" s="59"/>
      <c r="B107" s="53"/>
      <c r="C107" s="53"/>
      <c r="D107" s="53"/>
      <c r="E107" s="53"/>
      <c r="F107" s="84"/>
      <c r="G107" s="85"/>
      <c r="H107" s="85"/>
      <c r="I107" s="85"/>
      <c r="J107" s="85"/>
      <c r="K107" s="86"/>
      <c r="L107" s="86"/>
      <c r="M107" s="86"/>
      <c r="N107" s="87"/>
      <c r="O107" s="87"/>
      <c r="P107" s="87"/>
      <c r="Q107" s="87"/>
      <c r="R107" s="87"/>
      <c r="S107" s="87"/>
      <c r="T107" s="87"/>
      <c r="U107" s="87"/>
      <c r="V107" s="87"/>
      <c r="W107" s="87"/>
      <c r="X107" s="87"/>
      <c r="Y107" s="87"/>
      <c r="Z107" s="87"/>
      <c r="AA107" s="87"/>
      <c r="AB107" s="53"/>
      <c r="AC107" s="53"/>
      <c r="AD107" s="53"/>
      <c r="AE107" s="53"/>
      <c r="AF107" s="53"/>
    </row>
    <row r="108" spans="1:32" ht="15" x14ac:dyDescent="0.2">
      <c r="A108" s="59"/>
      <c r="B108" s="53"/>
      <c r="C108" s="53"/>
      <c r="D108" s="53"/>
      <c r="E108" s="53"/>
      <c r="F108" s="84"/>
      <c r="G108" s="85"/>
      <c r="H108" s="85"/>
      <c r="I108" s="85"/>
      <c r="J108" s="85"/>
      <c r="K108" s="86"/>
      <c r="L108" s="86"/>
      <c r="M108" s="86"/>
      <c r="N108" s="87"/>
      <c r="O108" s="87"/>
      <c r="P108" s="87"/>
      <c r="Q108" s="87"/>
      <c r="R108" s="87"/>
      <c r="S108" s="87"/>
      <c r="T108" s="87"/>
      <c r="U108" s="87"/>
      <c r="V108" s="87"/>
      <c r="W108" s="87"/>
      <c r="X108" s="87"/>
      <c r="Y108" s="87"/>
      <c r="Z108" s="87"/>
      <c r="AA108" s="87"/>
      <c r="AB108" s="53"/>
      <c r="AC108" s="53"/>
      <c r="AD108" s="53"/>
      <c r="AE108" s="53"/>
      <c r="AF108" s="53"/>
    </row>
    <row r="109" spans="1:32" ht="15" x14ac:dyDescent="0.2">
      <c r="A109" s="59"/>
      <c r="B109" s="53"/>
      <c r="C109" s="53"/>
      <c r="D109" s="53"/>
      <c r="E109" s="53"/>
      <c r="F109" s="84"/>
      <c r="G109" s="85"/>
      <c r="H109" s="85"/>
      <c r="I109" s="85"/>
      <c r="J109" s="85"/>
      <c r="K109" s="86"/>
      <c r="L109" s="86"/>
      <c r="M109" s="86"/>
      <c r="N109" s="87"/>
      <c r="O109" s="87"/>
      <c r="P109" s="87"/>
      <c r="Q109" s="87"/>
      <c r="R109" s="87"/>
      <c r="S109" s="87"/>
      <c r="T109" s="87"/>
      <c r="U109" s="87"/>
      <c r="V109" s="87"/>
      <c r="W109" s="87"/>
      <c r="X109" s="87"/>
      <c r="Y109" s="87"/>
      <c r="Z109" s="87"/>
      <c r="AA109" s="87"/>
      <c r="AB109" s="53"/>
      <c r="AC109" s="53"/>
      <c r="AD109" s="53"/>
      <c r="AE109" s="53"/>
      <c r="AF109" s="53"/>
    </row>
    <row r="110" spans="1:32" ht="15" x14ac:dyDescent="0.2">
      <c r="A110" s="59"/>
      <c r="B110" s="53"/>
      <c r="C110" s="53"/>
      <c r="D110" s="53"/>
      <c r="E110" s="53"/>
      <c r="F110" s="84"/>
      <c r="G110" s="85"/>
      <c r="H110" s="85"/>
      <c r="I110" s="85"/>
      <c r="J110" s="85"/>
      <c r="K110" s="86"/>
      <c r="L110" s="86"/>
      <c r="M110" s="86"/>
      <c r="N110" s="87"/>
      <c r="O110" s="87"/>
      <c r="P110" s="87"/>
      <c r="Q110" s="87"/>
      <c r="R110" s="87"/>
      <c r="S110" s="87"/>
      <c r="T110" s="87"/>
      <c r="U110" s="87"/>
      <c r="V110" s="87"/>
      <c r="W110" s="87"/>
      <c r="X110" s="87"/>
      <c r="Y110" s="87"/>
      <c r="Z110" s="87"/>
      <c r="AA110" s="87"/>
      <c r="AB110" s="53"/>
      <c r="AC110" s="53"/>
      <c r="AD110" s="53"/>
      <c r="AE110" s="53"/>
      <c r="AF110" s="53"/>
    </row>
    <row r="111" spans="1:32" ht="15" x14ac:dyDescent="0.2">
      <c r="A111" s="59"/>
      <c r="B111" s="53"/>
      <c r="C111" s="53"/>
      <c r="D111" s="53"/>
      <c r="E111" s="53"/>
      <c r="F111" s="84"/>
      <c r="G111" s="85"/>
      <c r="H111" s="85"/>
      <c r="I111" s="85"/>
      <c r="J111" s="85"/>
      <c r="K111" s="86"/>
      <c r="L111" s="86"/>
      <c r="M111" s="86"/>
      <c r="N111" s="87"/>
      <c r="O111" s="87"/>
      <c r="P111" s="87"/>
      <c r="Q111" s="87"/>
      <c r="R111" s="87"/>
      <c r="S111" s="87"/>
      <c r="T111" s="87"/>
      <c r="U111" s="87"/>
      <c r="V111" s="87"/>
      <c r="W111" s="87"/>
      <c r="X111" s="87"/>
      <c r="Y111" s="87"/>
      <c r="Z111" s="87"/>
      <c r="AA111" s="87"/>
      <c r="AB111" s="53"/>
      <c r="AC111" s="53"/>
      <c r="AD111" s="53"/>
      <c r="AE111" s="53"/>
      <c r="AF111" s="53"/>
    </row>
    <row r="112" spans="1:32" ht="15" x14ac:dyDescent="0.2">
      <c r="A112" s="59"/>
      <c r="B112" s="53"/>
      <c r="C112" s="53"/>
      <c r="D112" s="53"/>
      <c r="E112" s="53"/>
      <c r="F112" s="84"/>
      <c r="G112" s="85"/>
      <c r="H112" s="85"/>
      <c r="I112" s="85"/>
      <c r="J112" s="85"/>
      <c r="K112" s="86"/>
      <c r="L112" s="86"/>
      <c r="M112" s="86"/>
      <c r="N112" s="87"/>
      <c r="O112" s="87"/>
      <c r="P112" s="87"/>
      <c r="Q112" s="87"/>
      <c r="R112" s="87"/>
      <c r="S112" s="87"/>
      <c r="T112" s="87"/>
      <c r="U112" s="87"/>
      <c r="V112" s="87"/>
      <c r="W112" s="87"/>
      <c r="X112" s="87"/>
      <c r="Y112" s="87"/>
      <c r="Z112" s="87"/>
      <c r="AA112" s="87"/>
      <c r="AB112" s="53"/>
      <c r="AC112" s="53"/>
      <c r="AD112" s="53"/>
      <c r="AE112" s="53"/>
      <c r="AF112" s="53"/>
    </row>
    <row r="113" spans="1:32" ht="15" x14ac:dyDescent="0.2">
      <c r="A113" s="59"/>
      <c r="B113" s="53"/>
      <c r="C113" s="53"/>
      <c r="D113" s="53"/>
      <c r="E113" s="53"/>
      <c r="F113" s="84"/>
      <c r="G113" s="85"/>
      <c r="H113" s="85"/>
      <c r="I113" s="85"/>
      <c r="J113" s="85"/>
      <c r="K113" s="86"/>
      <c r="L113" s="86"/>
      <c r="M113" s="86"/>
      <c r="N113" s="87"/>
      <c r="O113" s="87"/>
      <c r="P113" s="87"/>
      <c r="Q113" s="87"/>
      <c r="R113" s="87"/>
      <c r="S113" s="87"/>
      <c r="T113" s="87"/>
      <c r="U113" s="87"/>
      <c r="V113" s="87"/>
      <c r="W113" s="87"/>
      <c r="X113" s="87"/>
      <c r="Y113" s="87"/>
      <c r="Z113" s="87"/>
      <c r="AA113" s="87"/>
      <c r="AB113" s="53"/>
      <c r="AC113" s="53"/>
      <c r="AD113" s="53"/>
      <c r="AE113" s="53"/>
      <c r="AF113" s="53"/>
    </row>
    <row r="114" spans="1:32" ht="15" x14ac:dyDescent="0.2">
      <c r="A114" s="59"/>
      <c r="B114" s="53"/>
      <c r="C114" s="53"/>
      <c r="D114" s="53"/>
      <c r="E114" s="53"/>
      <c r="F114" s="84"/>
      <c r="G114" s="85"/>
      <c r="H114" s="85"/>
      <c r="I114" s="85"/>
      <c r="J114" s="85"/>
      <c r="K114" s="86"/>
      <c r="L114" s="86"/>
      <c r="M114" s="86"/>
      <c r="N114" s="87"/>
      <c r="O114" s="87"/>
      <c r="P114" s="87"/>
      <c r="Q114" s="87"/>
      <c r="R114" s="87"/>
      <c r="S114" s="87"/>
      <c r="T114" s="87"/>
      <c r="U114" s="87"/>
      <c r="V114" s="87"/>
      <c r="W114" s="87"/>
      <c r="X114" s="87"/>
      <c r="Y114" s="87"/>
      <c r="Z114" s="87"/>
      <c r="AA114" s="87"/>
      <c r="AB114" s="53"/>
      <c r="AC114" s="53"/>
      <c r="AD114" s="53"/>
      <c r="AE114" s="53"/>
      <c r="AF114" s="53"/>
    </row>
    <row r="115" spans="1:32" ht="15" x14ac:dyDescent="0.2">
      <c r="A115" s="59"/>
      <c r="B115" s="53"/>
      <c r="C115" s="53"/>
      <c r="D115" s="53"/>
      <c r="E115" s="53"/>
      <c r="F115" s="84"/>
      <c r="G115" s="85"/>
      <c r="H115" s="85"/>
      <c r="I115" s="85"/>
      <c r="J115" s="85"/>
      <c r="K115" s="86"/>
      <c r="L115" s="86"/>
      <c r="M115" s="86"/>
      <c r="N115" s="87"/>
      <c r="O115" s="87"/>
      <c r="P115" s="87"/>
      <c r="Q115" s="87"/>
      <c r="R115" s="87"/>
      <c r="S115" s="87"/>
      <c r="T115" s="87"/>
      <c r="U115" s="87"/>
      <c r="V115" s="87"/>
      <c r="W115" s="87"/>
      <c r="X115" s="87"/>
      <c r="Y115" s="87"/>
      <c r="Z115" s="87"/>
      <c r="AA115" s="87"/>
      <c r="AB115" s="53"/>
      <c r="AC115" s="53"/>
      <c r="AD115" s="53"/>
      <c r="AE115" s="53"/>
      <c r="AF115" s="53"/>
    </row>
    <row r="116" spans="1:32" ht="15" x14ac:dyDescent="0.2">
      <c r="A116" s="59"/>
      <c r="B116" s="53"/>
      <c r="C116" s="53"/>
      <c r="D116" s="53"/>
      <c r="E116" s="53"/>
      <c r="F116" s="84"/>
      <c r="G116" s="85"/>
      <c r="H116" s="85"/>
      <c r="I116" s="85"/>
      <c r="J116" s="85"/>
      <c r="K116" s="86"/>
      <c r="L116" s="86"/>
      <c r="M116" s="86"/>
      <c r="N116" s="87"/>
      <c r="O116" s="87"/>
      <c r="P116" s="87"/>
      <c r="Q116" s="87"/>
      <c r="R116" s="87"/>
      <c r="S116" s="87"/>
      <c r="T116" s="87"/>
      <c r="U116" s="87"/>
      <c r="V116" s="87"/>
      <c r="W116" s="87"/>
      <c r="X116" s="87"/>
      <c r="Y116" s="87"/>
      <c r="Z116" s="87"/>
      <c r="AA116" s="87"/>
      <c r="AB116" s="53"/>
      <c r="AC116" s="53"/>
      <c r="AD116" s="53"/>
      <c r="AE116" s="53"/>
      <c r="AF116" s="53"/>
    </row>
    <row r="117" spans="1:32" ht="15" x14ac:dyDescent="0.2">
      <c r="A117" s="59"/>
      <c r="B117" s="53"/>
      <c r="C117" s="53"/>
      <c r="D117" s="53"/>
      <c r="E117" s="53"/>
      <c r="F117" s="84"/>
      <c r="G117" s="85"/>
      <c r="H117" s="85"/>
      <c r="I117" s="85"/>
      <c r="J117" s="85"/>
      <c r="K117" s="86"/>
      <c r="L117" s="86"/>
      <c r="M117" s="86"/>
      <c r="N117" s="87"/>
      <c r="O117" s="87"/>
      <c r="P117" s="87"/>
      <c r="Q117" s="87"/>
      <c r="R117" s="87"/>
      <c r="S117" s="87"/>
      <c r="T117" s="87"/>
      <c r="U117" s="87"/>
      <c r="V117" s="87"/>
      <c r="W117" s="87"/>
      <c r="X117" s="87"/>
      <c r="Y117" s="87"/>
      <c r="Z117" s="87"/>
      <c r="AA117" s="87"/>
      <c r="AB117" s="53"/>
      <c r="AC117" s="53"/>
      <c r="AD117" s="53"/>
      <c r="AE117" s="53"/>
      <c r="AF117" s="53"/>
    </row>
    <row r="118" spans="1:32" ht="15" x14ac:dyDescent="0.2">
      <c r="A118" s="59"/>
      <c r="B118" s="53"/>
      <c r="C118" s="53"/>
      <c r="D118" s="53"/>
      <c r="E118" s="53"/>
      <c r="F118" s="84"/>
      <c r="G118" s="85"/>
      <c r="H118" s="85"/>
      <c r="I118" s="85"/>
      <c r="J118" s="85"/>
      <c r="K118" s="86"/>
      <c r="L118" s="86"/>
      <c r="M118" s="86"/>
      <c r="N118" s="87"/>
      <c r="O118" s="87"/>
      <c r="P118" s="87"/>
      <c r="Q118" s="87"/>
      <c r="R118" s="87"/>
      <c r="S118" s="87"/>
      <c r="T118" s="87"/>
      <c r="U118" s="87"/>
      <c r="V118" s="87"/>
      <c r="W118" s="87"/>
      <c r="X118" s="87"/>
      <c r="Y118" s="87"/>
      <c r="Z118" s="87"/>
      <c r="AA118" s="87"/>
      <c r="AB118" s="53"/>
      <c r="AC118" s="53"/>
      <c r="AD118" s="53"/>
      <c r="AE118" s="53"/>
      <c r="AF118" s="53"/>
    </row>
    <row r="119" spans="1:32" ht="15" x14ac:dyDescent="0.2">
      <c r="A119" s="59"/>
      <c r="B119" s="53"/>
      <c r="C119" s="53"/>
      <c r="D119" s="53"/>
      <c r="E119" s="53"/>
      <c r="F119" s="84"/>
      <c r="G119" s="85"/>
      <c r="H119" s="85"/>
      <c r="I119" s="85"/>
      <c r="J119" s="85"/>
      <c r="K119" s="86"/>
      <c r="L119" s="86"/>
      <c r="M119" s="86"/>
      <c r="N119" s="87"/>
      <c r="O119" s="87"/>
      <c r="P119" s="87"/>
      <c r="Q119" s="87"/>
      <c r="R119" s="87"/>
      <c r="S119" s="87"/>
      <c r="T119" s="87"/>
      <c r="U119" s="87"/>
      <c r="V119" s="87"/>
      <c r="W119" s="87"/>
      <c r="X119" s="87"/>
      <c r="Y119" s="87"/>
      <c r="Z119" s="87"/>
      <c r="AA119" s="87"/>
      <c r="AB119" s="53"/>
      <c r="AC119" s="53"/>
      <c r="AD119" s="53"/>
      <c r="AE119" s="53"/>
      <c r="AF119" s="53"/>
    </row>
    <row r="120" spans="1:32" ht="15" x14ac:dyDescent="0.2">
      <c r="A120" s="59"/>
      <c r="B120" s="53"/>
      <c r="C120" s="53"/>
      <c r="D120" s="53"/>
      <c r="E120" s="53"/>
      <c r="F120" s="84"/>
      <c r="G120" s="85"/>
      <c r="H120" s="85"/>
      <c r="I120" s="85"/>
      <c r="J120" s="85"/>
      <c r="K120" s="86"/>
      <c r="L120" s="86"/>
      <c r="M120" s="86"/>
      <c r="N120" s="87"/>
      <c r="O120" s="87"/>
      <c r="P120" s="87"/>
      <c r="Q120" s="87"/>
      <c r="R120" s="87"/>
      <c r="S120" s="87"/>
      <c r="T120" s="87"/>
      <c r="U120" s="87"/>
      <c r="V120" s="87"/>
      <c r="W120" s="87"/>
      <c r="X120" s="87"/>
      <c r="Y120" s="87"/>
      <c r="Z120" s="87"/>
      <c r="AA120" s="87"/>
      <c r="AB120" s="53"/>
      <c r="AC120" s="53"/>
      <c r="AD120" s="53"/>
      <c r="AE120" s="53"/>
      <c r="AF120" s="53"/>
    </row>
    <row r="121" spans="1:32" ht="15" x14ac:dyDescent="0.2">
      <c r="A121" s="59"/>
      <c r="B121" s="53"/>
      <c r="C121" s="53"/>
      <c r="D121" s="53"/>
      <c r="E121" s="53"/>
      <c r="F121" s="84"/>
      <c r="G121" s="85"/>
      <c r="H121" s="85"/>
      <c r="I121" s="85"/>
      <c r="J121" s="85"/>
      <c r="K121" s="86"/>
      <c r="L121" s="86"/>
      <c r="M121" s="86"/>
      <c r="N121" s="87"/>
      <c r="O121" s="87"/>
      <c r="P121" s="87"/>
      <c r="Q121" s="87"/>
      <c r="R121" s="87"/>
      <c r="S121" s="87"/>
      <c r="T121" s="87"/>
      <c r="U121" s="87"/>
      <c r="V121" s="87"/>
      <c r="W121" s="87"/>
      <c r="X121" s="87"/>
      <c r="Y121" s="87"/>
      <c r="Z121" s="87"/>
      <c r="AA121" s="87"/>
      <c r="AB121" s="53"/>
      <c r="AC121" s="53"/>
      <c r="AD121" s="53"/>
      <c r="AE121" s="53"/>
      <c r="AF121" s="53"/>
    </row>
    <row r="122" spans="1:32" ht="15" x14ac:dyDescent="0.2">
      <c r="A122" s="59"/>
      <c r="B122" s="53"/>
      <c r="C122" s="53"/>
      <c r="D122" s="53"/>
      <c r="E122" s="53"/>
      <c r="F122" s="84"/>
      <c r="G122" s="85"/>
      <c r="H122" s="85"/>
      <c r="I122" s="85"/>
      <c r="J122" s="85"/>
      <c r="K122" s="86"/>
      <c r="L122" s="86"/>
      <c r="M122" s="86"/>
      <c r="N122" s="87"/>
      <c r="O122" s="87"/>
      <c r="P122" s="87"/>
      <c r="Q122" s="87"/>
      <c r="R122" s="87"/>
      <c r="S122" s="87"/>
      <c r="T122" s="87"/>
      <c r="U122" s="87"/>
      <c r="V122" s="87"/>
      <c r="W122" s="87"/>
      <c r="X122" s="87"/>
      <c r="Y122" s="87"/>
      <c r="Z122" s="87"/>
      <c r="AA122" s="87"/>
      <c r="AB122" s="53"/>
      <c r="AC122" s="53"/>
      <c r="AD122" s="53"/>
      <c r="AE122" s="53"/>
      <c r="AF122" s="53"/>
    </row>
    <row r="123" spans="1:32" ht="15" x14ac:dyDescent="0.2">
      <c r="A123" s="59"/>
      <c r="B123" s="53"/>
      <c r="C123" s="53"/>
      <c r="D123" s="53"/>
      <c r="E123" s="53"/>
      <c r="F123" s="84"/>
      <c r="G123" s="85"/>
      <c r="H123" s="85"/>
      <c r="I123" s="85"/>
      <c r="J123" s="85"/>
      <c r="K123" s="86"/>
      <c r="L123" s="86"/>
      <c r="M123" s="86"/>
      <c r="N123" s="87"/>
      <c r="O123" s="87"/>
      <c r="P123" s="87"/>
      <c r="Q123" s="87"/>
      <c r="R123" s="87"/>
      <c r="S123" s="87"/>
      <c r="T123" s="87"/>
      <c r="U123" s="87"/>
      <c r="V123" s="87"/>
      <c r="W123" s="87"/>
      <c r="X123" s="87"/>
      <c r="Y123" s="87"/>
      <c r="Z123" s="87"/>
      <c r="AA123" s="87"/>
      <c r="AB123" s="53"/>
      <c r="AC123" s="53"/>
      <c r="AD123" s="53"/>
      <c r="AE123" s="53"/>
      <c r="AF123" s="53"/>
    </row>
    <row r="124" spans="1:32" ht="15" x14ac:dyDescent="0.2">
      <c r="A124" s="59"/>
      <c r="B124" s="53"/>
      <c r="C124" s="53"/>
      <c r="D124" s="53"/>
      <c r="E124" s="53"/>
      <c r="F124" s="84"/>
      <c r="G124" s="85"/>
      <c r="H124" s="85"/>
      <c r="I124" s="85"/>
      <c r="J124" s="85"/>
      <c r="K124" s="86"/>
      <c r="L124" s="86"/>
      <c r="M124" s="86"/>
      <c r="N124" s="87"/>
      <c r="O124" s="87"/>
      <c r="P124" s="87"/>
      <c r="Q124" s="87"/>
      <c r="R124" s="87"/>
      <c r="S124" s="87"/>
      <c r="T124" s="87"/>
      <c r="U124" s="87"/>
      <c r="V124" s="87"/>
      <c r="W124" s="87"/>
      <c r="X124" s="87"/>
      <c r="Y124" s="87"/>
      <c r="Z124" s="87"/>
      <c r="AA124" s="87"/>
      <c r="AB124" s="53"/>
      <c r="AC124" s="53"/>
      <c r="AD124" s="53"/>
      <c r="AE124" s="53"/>
      <c r="AF124" s="53"/>
    </row>
    <row r="125" spans="1:32" ht="15" x14ac:dyDescent="0.2">
      <c r="A125" s="59"/>
      <c r="B125" s="53"/>
      <c r="C125" s="53"/>
      <c r="D125" s="53"/>
      <c r="E125" s="53"/>
      <c r="F125" s="84"/>
      <c r="G125" s="85"/>
      <c r="H125" s="85"/>
      <c r="I125" s="85"/>
      <c r="J125" s="85"/>
      <c r="K125" s="86"/>
      <c r="L125" s="86"/>
      <c r="M125" s="86"/>
      <c r="N125" s="87"/>
      <c r="O125" s="87"/>
      <c r="P125" s="87"/>
      <c r="Q125" s="87"/>
      <c r="R125" s="87"/>
      <c r="S125" s="87"/>
      <c r="T125" s="87"/>
      <c r="U125" s="87"/>
      <c r="V125" s="87"/>
      <c r="W125" s="87"/>
      <c r="X125" s="87"/>
      <c r="Y125" s="87"/>
      <c r="Z125" s="87"/>
      <c r="AA125" s="87"/>
      <c r="AB125" s="53"/>
      <c r="AC125" s="53"/>
      <c r="AD125" s="53"/>
      <c r="AE125" s="53"/>
      <c r="AF125" s="53"/>
    </row>
    <row r="126" spans="1:32" ht="15" x14ac:dyDescent="0.2">
      <c r="A126" s="59"/>
      <c r="B126" s="53"/>
      <c r="C126" s="53"/>
      <c r="D126" s="53"/>
      <c r="E126" s="53"/>
      <c r="F126" s="84"/>
      <c r="G126" s="85"/>
      <c r="H126" s="85"/>
      <c r="I126" s="85"/>
      <c r="J126" s="85"/>
      <c r="K126" s="86"/>
      <c r="L126" s="86"/>
      <c r="M126" s="86"/>
      <c r="N126" s="87"/>
      <c r="O126" s="87"/>
      <c r="P126" s="87"/>
      <c r="Q126" s="87"/>
      <c r="R126" s="87"/>
      <c r="S126" s="87"/>
      <c r="T126" s="87"/>
      <c r="U126" s="87"/>
      <c r="V126" s="87"/>
      <c r="W126" s="87"/>
      <c r="X126" s="87"/>
      <c r="Y126" s="87"/>
      <c r="Z126" s="87"/>
      <c r="AA126" s="87"/>
      <c r="AB126" s="53"/>
      <c r="AC126" s="53"/>
      <c r="AD126" s="53"/>
      <c r="AE126" s="53"/>
      <c r="AF126" s="53"/>
    </row>
  </sheetData>
  <mergeCells count="1">
    <mergeCell ref="B2:AF6"/>
  </mergeCells>
  <dataValidations count="1">
    <dataValidation type="list" allowBlank="1" showInputMessage="1" showErrorMessage="1" sqref="B11:B13" xr:uid="{00000000-0002-0000-0600-000000000000}">
      <formula1>$AJ$199:$AJ$208</formula1>
    </dataValidation>
  </dataValidations>
  <pageMargins left="0.7" right="0.7" top="0.75" bottom="0.75" header="0.3" footer="0.3"/>
  <pageSetup scale="25" orientation="landscape"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39997558519241921"/>
  </sheetPr>
  <dimension ref="A1:AG126"/>
  <sheetViews>
    <sheetView topLeftCell="S8" zoomScale="60" zoomScaleNormal="60" workbookViewId="0">
      <selection activeCell="A17" sqref="A17:XFD86"/>
    </sheetView>
  </sheetViews>
  <sheetFormatPr defaultColWidth="9.140625" defaultRowHeight="14.25" x14ac:dyDescent="0.2"/>
  <cols>
    <col min="1" max="1" width="8.7109375" style="67" customWidth="1"/>
    <col min="2" max="2" width="16.85546875" style="67" bestFit="1" customWidth="1"/>
    <col min="3" max="3" width="19.42578125" style="67" bestFit="1" customWidth="1"/>
    <col min="4" max="4" width="37.28515625" style="67" bestFit="1" customWidth="1"/>
    <col min="5" max="5" width="34.85546875" style="67" customWidth="1"/>
    <col min="6" max="6" width="24.42578125" style="68" bestFit="1" customWidth="1"/>
    <col min="7" max="7" width="23" style="69" bestFit="1" customWidth="1"/>
    <col min="8" max="8" width="31.5703125" style="69" customWidth="1"/>
    <col min="9" max="9" width="29.140625" style="69" customWidth="1"/>
    <col min="10" max="10" width="41.7109375" style="69" customWidth="1"/>
    <col min="11" max="11" width="32.7109375" style="70" bestFit="1" customWidth="1"/>
    <col min="12" max="12" width="7.7109375" style="70" bestFit="1" customWidth="1"/>
    <col min="13" max="13" width="25.5703125" style="70" bestFit="1" customWidth="1"/>
    <col min="14" max="14" width="27" style="71" bestFit="1" customWidth="1"/>
    <col min="15" max="15" width="16.5703125" style="71" bestFit="1" customWidth="1"/>
    <col min="16" max="17" width="16.5703125" style="71" customWidth="1"/>
    <col min="18" max="18" width="19.85546875" style="71" bestFit="1" customWidth="1"/>
    <col min="19" max="19" width="16.85546875" style="67" bestFit="1" customWidth="1"/>
    <col min="20" max="20" width="14.85546875" style="67" bestFit="1" customWidth="1"/>
    <col min="21" max="21" width="12.7109375" style="67" bestFit="1" customWidth="1"/>
    <col min="22" max="22" width="27" style="67" bestFit="1" customWidth="1"/>
    <col min="23" max="23" width="25" style="67" customWidth="1"/>
    <col min="24" max="24" width="17" style="67" bestFit="1" customWidth="1"/>
    <col min="25" max="25" width="20.7109375" style="67" customWidth="1"/>
    <col min="26" max="26" width="19.140625" style="67" customWidth="1"/>
    <col min="27" max="27" width="17" style="67" customWidth="1"/>
    <col min="28" max="28" width="20.85546875" style="67" customWidth="1"/>
    <col min="29" max="29" width="27.85546875" style="67" customWidth="1"/>
    <col min="30" max="30" width="21" style="67" customWidth="1"/>
    <col min="31" max="31" width="12.7109375" style="67" customWidth="1"/>
    <col min="32" max="32" width="16.140625" style="67" customWidth="1"/>
    <col min="33" max="16384" width="9.140625" style="67"/>
  </cols>
  <sheetData>
    <row r="1" spans="1:33" ht="15.75" customHeight="1" thickTop="1" thickBot="1" x14ac:dyDescent="0.45">
      <c r="A1" s="55"/>
      <c r="B1" s="56"/>
      <c r="C1" s="56"/>
      <c r="D1" s="56"/>
      <c r="E1" s="56"/>
      <c r="F1" s="56"/>
      <c r="G1" s="56"/>
      <c r="H1" s="56"/>
      <c r="I1" s="56"/>
      <c r="J1" s="56"/>
      <c r="K1" s="56"/>
      <c r="L1" s="56"/>
      <c r="M1" s="56"/>
      <c r="N1" s="56"/>
      <c r="O1" s="56"/>
      <c r="P1" s="56"/>
      <c r="Q1" s="56"/>
      <c r="R1" s="56"/>
      <c r="S1" s="56"/>
      <c r="T1" s="91"/>
      <c r="U1" s="91"/>
      <c r="V1" s="91"/>
      <c r="W1" s="91"/>
      <c r="X1" s="91"/>
      <c r="Y1" s="91"/>
      <c r="Z1" s="91"/>
      <c r="AA1" s="91"/>
      <c r="AB1" s="91"/>
      <c r="AC1" s="91"/>
      <c r="AD1" s="91"/>
      <c r="AE1" s="91"/>
      <c r="AF1" s="91"/>
      <c r="AG1" s="92"/>
    </row>
    <row r="2" spans="1:33" ht="15" customHeight="1" x14ac:dyDescent="0.25">
      <c r="A2" s="57"/>
      <c r="B2" s="505" t="str">
        <f>IF('Stage Generator'!F20="","",'Stage Generator'!F20&amp;" Well Summary")</f>
        <v/>
      </c>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7"/>
      <c r="AG2" s="77"/>
    </row>
    <row r="3" spans="1:33" ht="15" customHeight="1" x14ac:dyDescent="0.25">
      <c r="A3" s="57"/>
      <c r="B3" s="508"/>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10"/>
      <c r="AG3" s="77"/>
    </row>
    <row r="4" spans="1:33" ht="15" customHeight="1" x14ac:dyDescent="0.25">
      <c r="A4" s="57"/>
      <c r="B4" s="508"/>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10"/>
      <c r="AG4" s="77"/>
    </row>
    <row r="5" spans="1:33" ht="15" customHeight="1" x14ac:dyDescent="0.25">
      <c r="A5" s="57"/>
      <c r="B5" s="508"/>
      <c r="C5" s="509"/>
      <c r="D5" s="509"/>
      <c r="E5" s="509"/>
      <c r="F5" s="509"/>
      <c r="G5" s="509"/>
      <c r="H5" s="509"/>
      <c r="I5" s="509"/>
      <c r="J5" s="509"/>
      <c r="K5" s="509"/>
      <c r="L5" s="509"/>
      <c r="M5" s="509"/>
      <c r="N5" s="509"/>
      <c r="O5" s="509"/>
      <c r="P5" s="509"/>
      <c r="Q5" s="509"/>
      <c r="R5" s="509"/>
      <c r="S5" s="509"/>
      <c r="T5" s="509"/>
      <c r="U5" s="509"/>
      <c r="V5" s="509"/>
      <c r="W5" s="509"/>
      <c r="X5" s="509"/>
      <c r="Y5" s="509"/>
      <c r="Z5" s="509"/>
      <c r="AA5" s="509"/>
      <c r="AB5" s="509"/>
      <c r="AC5" s="509"/>
      <c r="AD5" s="509"/>
      <c r="AE5" s="509"/>
      <c r="AF5" s="510"/>
      <c r="AG5" s="77"/>
    </row>
    <row r="6" spans="1:33" ht="15.75" customHeight="1" thickBot="1" x14ac:dyDescent="0.3">
      <c r="A6" s="58"/>
      <c r="B6" s="511"/>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3"/>
      <c r="AG6" s="77"/>
    </row>
    <row r="7" spans="1:33" ht="16.5" customHeight="1" x14ac:dyDescent="0.2">
      <c r="A7" s="59"/>
      <c r="B7" s="52"/>
      <c r="C7" s="52"/>
      <c r="D7" s="52"/>
      <c r="E7" s="52"/>
      <c r="F7" s="52"/>
      <c r="G7" s="52"/>
      <c r="H7" s="52"/>
      <c r="I7" s="52"/>
      <c r="J7" s="52"/>
      <c r="K7" s="52"/>
      <c r="L7" s="52"/>
      <c r="M7" s="52"/>
      <c r="N7" s="52"/>
      <c r="O7" s="52"/>
      <c r="P7" s="52"/>
      <c r="Q7" s="52"/>
      <c r="R7" s="52"/>
      <c r="S7" s="52"/>
      <c r="T7" s="76"/>
      <c r="U7" s="76"/>
      <c r="V7" s="76"/>
      <c r="W7" s="76"/>
      <c r="X7" s="76"/>
      <c r="Y7" s="76"/>
      <c r="Z7" s="76"/>
      <c r="AA7" s="76"/>
      <c r="AB7" s="76"/>
      <c r="AC7" s="76"/>
      <c r="AD7" s="76"/>
      <c r="AE7" s="76"/>
      <c r="AF7" s="76"/>
      <c r="AG7" s="77"/>
    </row>
    <row r="8" spans="1:33" ht="15.75" thickBot="1" x14ac:dyDescent="0.25">
      <c r="A8" s="59"/>
      <c r="B8" s="72"/>
      <c r="C8" s="72"/>
      <c r="D8" s="72"/>
      <c r="E8" s="72"/>
      <c r="F8" s="73"/>
      <c r="G8" s="74"/>
      <c r="H8" s="74"/>
      <c r="I8" s="74"/>
      <c r="J8" s="74"/>
      <c r="K8" s="75"/>
      <c r="L8" s="75"/>
      <c r="M8" s="75"/>
      <c r="N8" s="76"/>
      <c r="O8" s="76"/>
      <c r="P8" s="76"/>
      <c r="Q8" s="76"/>
      <c r="R8" s="76"/>
      <c r="S8" s="76"/>
      <c r="T8" s="76"/>
      <c r="U8" s="76"/>
      <c r="V8" s="76"/>
      <c r="W8" s="76"/>
      <c r="X8" s="76"/>
      <c r="Y8" s="76"/>
      <c r="Z8" s="76"/>
      <c r="AA8" s="76"/>
      <c r="AB8" s="76"/>
      <c r="AC8" s="76"/>
      <c r="AD8" s="76"/>
      <c r="AE8" s="76"/>
      <c r="AF8" s="76"/>
      <c r="AG8" s="77"/>
    </row>
    <row r="9" spans="1:33" ht="16.5" thickBot="1" x14ac:dyDescent="0.3">
      <c r="A9" s="59"/>
      <c r="B9" s="17" t="s">
        <v>0</v>
      </c>
      <c r="C9" s="136"/>
      <c r="D9" s="35"/>
      <c r="E9" s="35"/>
      <c r="F9" s="35"/>
      <c r="G9" s="35"/>
      <c r="H9" s="35"/>
      <c r="I9" s="35"/>
      <c r="J9" s="74"/>
      <c r="K9" s="75"/>
      <c r="L9" s="75"/>
      <c r="M9" s="75"/>
      <c r="N9" s="76"/>
      <c r="O9" s="76"/>
      <c r="P9" s="76"/>
      <c r="Q9" s="76"/>
      <c r="R9" s="76"/>
      <c r="S9" s="76"/>
      <c r="T9" s="76"/>
      <c r="U9" s="76"/>
      <c r="V9" s="76"/>
      <c r="W9" s="76"/>
      <c r="X9" s="76"/>
      <c r="Y9" s="76"/>
      <c r="Z9" s="76"/>
      <c r="AA9" s="76"/>
      <c r="AB9" s="76"/>
      <c r="AC9" s="76"/>
      <c r="AD9" s="76"/>
      <c r="AE9" s="76"/>
      <c r="AF9" s="76"/>
      <c r="AG9" s="77"/>
    </row>
    <row r="10" spans="1:33" ht="16.5" thickBot="1" x14ac:dyDescent="0.3">
      <c r="A10" s="59"/>
      <c r="B10" s="16" t="s">
        <v>25</v>
      </c>
      <c r="C10" s="18" t="s">
        <v>42</v>
      </c>
      <c r="D10" s="19" t="s">
        <v>43</v>
      </c>
      <c r="E10" s="20" t="s">
        <v>44</v>
      </c>
      <c r="F10" s="20" t="s">
        <v>45</v>
      </c>
      <c r="G10" s="21" t="s">
        <v>46</v>
      </c>
      <c r="H10" s="74"/>
      <c r="I10" s="74"/>
      <c r="J10" s="74"/>
      <c r="K10" s="75"/>
      <c r="L10" s="75"/>
      <c r="M10" s="75"/>
      <c r="N10" s="76"/>
      <c r="O10" s="76"/>
      <c r="P10" s="76"/>
      <c r="Q10" s="76"/>
      <c r="R10" s="76"/>
      <c r="S10" s="76"/>
      <c r="T10" s="76"/>
      <c r="U10" s="76"/>
      <c r="V10" s="76"/>
      <c r="W10" s="76"/>
      <c r="X10" s="76"/>
      <c r="Y10" s="76"/>
      <c r="Z10" s="76"/>
      <c r="AA10" s="76"/>
      <c r="AB10" s="76"/>
      <c r="AC10" s="76"/>
      <c r="AD10" s="76"/>
      <c r="AE10" s="76"/>
      <c r="AF10" s="76"/>
      <c r="AG10" s="77"/>
    </row>
    <row r="11" spans="1:33" ht="16.5" thickBot="1" x14ac:dyDescent="0.25">
      <c r="A11" s="59"/>
      <c r="B11" s="128" t="s">
        <v>9</v>
      </c>
      <c r="C11" s="132"/>
      <c r="D11" s="121"/>
      <c r="E11" s="133"/>
      <c r="F11" s="150"/>
      <c r="G11" s="15"/>
      <c r="H11" s="35"/>
      <c r="I11" s="35"/>
      <c r="J11" s="74"/>
      <c r="K11" s="75"/>
      <c r="L11" s="75"/>
      <c r="M11" s="75"/>
      <c r="N11" s="76"/>
      <c r="O11" s="76"/>
      <c r="P11" s="76"/>
      <c r="Q11" s="76"/>
      <c r="R11" s="76"/>
      <c r="S11" s="76"/>
      <c r="T11" s="76"/>
      <c r="U11" s="76"/>
      <c r="V11" s="76"/>
      <c r="W11" s="76"/>
      <c r="X11" s="76"/>
      <c r="Y11" s="76"/>
      <c r="Z11" s="76"/>
      <c r="AA11" s="76"/>
      <c r="AB11" s="76"/>
      <c r="AC11" s="76"/>
      <c r="AD11" s="76"/>
      <c r="AE11" s="76"/>
      <c r="AF11" s="76"/>
      <c r="AG11" s="77"/>
    </row>
    <row r="12" spans="1:33" ht="16.5" thickBot="1" x14ac:dyDescent="0.25">
      <c r="A12" s="59"/>
      <c r="B12" s="128" t="s">
        <v>40</v>
      </c>
      <c r="C12" s="132"/>
      <c r="D12" s="121"/>
      <c r="E12" s="121"/>
      <c r="F12" s="150"/>
      <c r="G12" s="150"/>
      <c r="H12" s="74"/>
      <c r="I12" s="74"/>
      <c r="J12" s="74"/>
      <c r="K12" s="75"/>
      <c r="L12" s="75"/>
      <c r="M12" s="75"/>
      <c r="N12" s="76"/>
      <c r="O12" s="76"/>
      <c r="P12" s="76"/>
      <c r="Q12" s="76"/>
      <c r="R12" s="76"/>
      <c r="S12" s="76"/>
      <c r="T12" s="76"/>
      <c r="U12" s="76"/>
      <c r="V12" s="76"/>
      <c r="W12" s="76"/>
      <c r="X12" s="76"/>
      <c r="Y12" s="76"/>
      <c r="Z12" s="76"/>
      <c r="AA12" s="76"/>
      <c r="AB12" s="76"/>
      <c r="AC12" s="76"/>
      <c r="AD12" s="76"/>
      <c r="AE12" s="76"/>
      <c r="AF12" s="76"/>
      <c r="AG12" s="77"/>
    </row>
    <row r="13" spans="1:33" ht="16.5" thickBot="1" x14ac:dyDescent="0.25">
      <c r="A13" s="59"/>
      <c r="B13" s="129" t="s">
        <v>41</v>
      </c>
      <c r="C13" s="134"/>
      <c r="D13" s="135"/>
      <c r="E13" s="131"/>
      <c r="F13" s="151"/>
      <c r="G13" s="151"/>
      <c r="H13" s="35"/>
      <c r="I13" s="35"/>
      <c r="J13" s="74"/>
      <c r="K13" s="75"/>
      <c r="L13" s="75"/>
      <c r="M13" s="75"/>
      <c r="N13" s="76"/>
      <c r="O13" s="76"/>
      <c r="P13" s="76"/>
      <c r="Q13" s="76"/>
      <c r="R13" s="76"/>
      <c r="S13" s="76"/>
      <c r="T13" s="76"/>
      <c r="U13" s="76"/>
      <c r="V13" s="76"/>
      <c r="W13" s="76"/>
      <c r="X13" s="76"/>
      <c r="Y13" s="76"/>
      <c r="Z13" s="76"/>
      <c r="AA13" s="76"/>
      <c r="AB13" s="76"/>
      <c r="AC13" s="76"/>
      <c r="AD13" s="76"/>
      <c r="AE13" s="76"/>
      <c r="AF13" s="76"/>
      <c r="AG13" s="77"/>
    </row>
    <row r="14" spans="1:33" ht="15" x14ac:dyDescent="0.2">
      <c r="A14" s="59"/>
      <c r="B14" s="72"/>
      <c r="C14" s="72"/>
      <c r="D14" s="72"/>
      <c r="E14" s="72"/>
      <c r="F14" s="73"/>
      <c r="G14" s="74"/>
      <c r="H14" s="74"/>
      <c r="I14" s="74"/>
      <c r="J14" s="74"/>
      <c r="K14" s="75"/>
      <c r="L14" s="75"/>
      <c r="M14" s="75"/>
      <c r="N14" s="76"/>
      <c r="O14" s="76"/>
      <c r="P14" s="76"/>
      <c r="Q14" s="76"/>
      <c r="R14" s="76"/>
      <c r="S14" s="76"/>
      <c r="T14" s="76"/>
      <c r="U14" s="76"/>
      <c r="V14" s="76"/>
      <c r="W14" s="76"/>
      <c r="X14" s="76"/>
      <c r="Y14" s="76"/>
      <c r="Z14" s="76"/>
      <c r="AA14" s="76"/>
      <c r="AB14" s="76"/>
      <c r="AC14" s="76"/>
      <c r="AD14" s="76"/>
      <c r="AE14" s="76"/>
      <c r="AF14" s="76"/>
      <c r="AG14" s="77"/>
    </row>
    <row r="15" spans="1:33" ht="15" x14ac:dyDescent="0.2">
      <c r="A15" s="59"/>
      <c r="B15" s="72"/>
      <c r="C15" s="72"/>
      <c r="D15" s="72"/>
      <c r="E15" s="72"/>
      <c r="F15" s="73"/>
      <c r="G15" s="74"/>
      <c r="H15" s="74"/>
      <c r="I15" s="74"/>
      <c r="J15" s="74"/>
      <c r="K15" s="75"/>
      <c r="L15" s="75"/>
      <c r="M15" s="75"/>
      <c r="N15" s="76"/>
      <c r="O15" s="76"/>
      <c r="P15" s="76"/>
      <c r="Q15" s="76"/>
      <c r="R15" s="76"/>
      <c r="S15" s="76"/>
      <c r="T15" s="76"/>
      <c r="U15" s="76"/>
      <c r="V15" s="76"/>
      <c r="W15" s="76"/>
      <c r="X15" s="76"/>
      <c r="Y15" s="76"/>
      <c r="Z15" s="76"/>
      <c r="AA15" s="76"/>
      <c r="AB15" s="76"/>
      <c r="AC15" s="76"/>
      <c r="AD15" s="76"/>
      <c r="AE15" s="76"/>
      <c r="AF15" s="76"/>
      <c r="AG15" s="77"/>
    </row>
    <row r="16" spans="1:33" ht="15.75" thickBot="1" x14ac:dyDescent="0.25">
      <c r="A16" s="59"/>
      <c r="B16" s="72"/>
      <c r="C16" s="72"/>
      <c r="D16" s="72"/>
      <c r="E16" s="72"/>
      <c r="F16" s="73"/>
      <c r="G16" s="74"/>
      <c r="H16" s="74"/>
      <c r="I16" s="74"/>
      <c r="J16" s="74"/>
      <c r="K16" s="75"/>
      <c r="L16" s="75"/>
      <c r="M16" s="75"/>
      <c r="N16" s="76"/>
      <c r="O16" s="76"/>
      <c r="P16" s="76"/>
      <c r="Q16" s="76"/>
      <c r="R16" s="76"/>
      <c r="S16" s="76"/>
      <c r="T16" s="76"/>
      <c r="U16" s="76"/>
      <c r="V16" s="76"/>
      <c r="W16" s="76"/>
      <c r="X16" s="72"/>
      <c r="Y16" s="72"/>
      <c r="Z16" s="72"/>
      <c r="AA16" s="72"/>
      <c r="AB16" s="72"/>
      <c r="AC16" s="72"/>
      <c r="AD16" s="72"/>
      <c r="AE16" s="72"/>
      <c r="AF16" s="72"/>
      <c r="AG16" s="93"/>
    </row>
    <row r="17" spans="1:33" s="83" customFormat="1" ht="15.75" x14ac:dyDescent="0.25">
      <c r="A17" s="82"/>
      <c r="B17" s="97" t="s">
        <v>144</v>
      </c>
      <c r="C17" s="97" t="s">
        <v>10</v>
      </c>
      <c r="D17" s="97" t="s">
        <v>148</v>
      </c>
      <c r="E17" s="97" t="s">
        <v>147</v>
      </c>
      <c r="F17" s="98" t="s">
        <v>145</v>
      </c>
      <c r="G17" s="99" t="s">
        <v>149</v>
      </c>
      <c r="H17" s="99" t="s">
        <v>180</v>
      </c>
      <c r="I17" s="99" t="s">
        <v>181</v>
      </c>
      <c r="J17" s="221" t="s">
        <v>190</v>
      </c>
      <c r="K17" s="100" t="s">
        <v>150</v>
      </c>
      <c r="L17" s="100" t="s">
        <v>152</v>
      </c>
      <c r="M17" s="100" t="s">
        <v>153</v>
      </c>
      <c r="N17" s="101" t="s">
        <v>185</v>
      </c>
      <c r="O17" s="101" t="str">
        <f>IF(Template!H30 = "","Total Sand",Template!H30)</f>
        <v>Total Sand</v>
      </c>
      <c r="P17" s="101" t="str">
        <f>IF(Template!H35 = "","Total Sand",Template!H35)</f>
        <v>Total Sand</v>
      </c>
      <c r="Q17" s="101" t="str">
        <f>IF(Template!H40 = "","Total Sand",Template!H40)</f>
        <v>Total Sand</v>
      </c>
      <c r="R17" s="101" t="s">
        <v>155</v>
      </c>
      <c r="S17" s="97" t="s">
        <v>158</v>
      </c>
      <c r="T17" s="97" t="s">
        <v>193</v>
      </c>
      <c r="U17" s="97" t="s">
        <v>194</v>
      </c>
      <c r="V17" s="97" t="s">
        <v>196</v>
      </c>
      <c r="W17" s="101" t="s">
        <v>191</v>
      </c>
      <c r="X17" s="101" t="s">
        <v>162</v>
      </c>
      <c r="Y17" s="101" t="s">
        <v>163</v>
      </c>
      <c r="Z17" s="101" t="s">
        <v>168</v>
      </c>
      <c r="AA17" s="97" t="s">
        <v>102</v>
      </c>
      <c r="AB17" s="97" t="s">
        <v>169</v>
      </c>
      <c r="AC17" s="97" t="s">
        <v>103</v>
      </c>
      <c r="AD17" s="97" t="s">
        <v>170</v>
      </c>
      <c r="AE17" s="97" t="s">
        <v>165</v>
      </c>
      <c r="AF17" s="97" t="s">
        <v>197</v>
      </c>
      <c r="AG17" s="94"/>
    </row>
    <row r="18" spans="1:33" s="83" customFormat="1" ht="16.5" thickBot="1" x14ac:dyDescent="0.3">
      <c r="A18" s="82"/>
      <c r="B18" s="102" t="s">
        <v>157</v>
      </c>
      <c r="C18" s="103" t="s">
        <v>156</v>
      </c>
      <c r="D18" s="104" t="s">
        <v>146</v>
      </c>
      <c r="E18" s="105" t="s">
        <v>146</v>
      </c>
      <c r="F18" s="105" t="s">
        <v>146</v>
      </c>
      <c r="G18" s="105" t="s">
        <v>146</v>
      </c>
      <c r="H18" s="105" t="s">
        <v>146</v>
      </c>
      <c r="I18" s="105" t="s">
        <v>146</v>
      </c>
      <c r="J18" s="105" t="s">
        <v>146</v>
      </c>
      <c r="K18" s="106" t="s">
        <v>151</v>
      </c>
      <c r="L18" s="106" t="s">
        <v>151</v>
      </c>
      <c r="M18" s="106" t="s">
        <v>98</v>
      </c>
      <c r="N18" s="106" t="s">
        <v>98</v>
      </c>
      <c r="O18" s="106" t="s">
        <v>154</v>
      </c>
      <c r="P18" s="106" t="s">
        <v>154</v>
      </c>
      <c r="Q18" s="106" t="s">
        <v>154</v>
      </c>
      <c r="R18" s="106" t="s">
        <v>98</v>
      </c>
      <c r="S18" s="106" t="s">
        <v>159</v>
      </c>
      <c r="T18" s="106" t="s">
        <v>195</v>
      </c>
      <c r="U18" s="106" t="s">
        <v>195</v>
      </c>
      <c r="V18" s="106" t="s">
        <v>143</v>
      </c>
      <c r="W18" s="106" t="s">
        <v>161</v>
      </c>
      <c r="X18" s="106" t="s">
        <v>143</v>
      </c>
      <c r="Y18" s="106" t="s">
        <v>164</v>
      </c>
      <c r="Z18" s="106" t="s">
        <v>98</v>
      </c>
      <c r="AA18" s="102" t="s">
        <v>164</v>
      </c>
      <c r="AB18" s="102" t="s">
        <v>98</v>
      </c>
      <c r="AC18" s="102" t="s">
        <v>164</v>
      </c>
      <c r="AD18" s="102" t="s">
        <v>98</v>
      </c>
      <c r="AE18" s="102" t="s">
        <v>166</v>
      </c>
      <c r="AF18" s="102" t="s">
        <v>98</v>
      </c>
      <c r="AG18" s="94"/>
    </row>
    <row r="19" spans="1:33" s="88" customFormat="1" ht="15" x14ac:dyDescent="0.2">
      <c r="A19" s="59"/>
      <c r="B19" s="112"/>
      <c r="C19" s="119"/>
      <c r="D19" s="137"/>
      <c r="E19" s="137"/>
      <c r="F19" s="137"/>
      <c r="G19" s="137"/>
      <c r="H19" s="137"/>
      <c r="I19" s="137"/>
      <c r="J19" s="138" t="str">
        <f>IF(OR(H19="",G19=""),"",H19-G19)</f>
        <v/>
      </c>
      <c r="K19" s="140"/>
      <c r="L19" s="140"/>
      <c r="M19" s="143"/>
      <c r="N19" s="143"/>
      <c r="O19" s="143"/>
      <c r="P19" s="143"/>
      <c r="Q19" s="143"/>
      <c r="R19" s="143"/>
      <c r="S19" s="146"/>
      <c r="T19" s="146"/>
      <c r="U19" s="146"/>
      <c r="V19" s="146"/>
      <c r="W19" s="113"/>
      <c r="X19" s="113"/>
      <c r="Y19" s="113"/>
      <c r="Z19" s="143"/>
      <c r="AA19" s="112"/>
      <c r="AB19" s="143"/>
      <c r="AC19" s="112"/>
      <c r="AD19" s="143"/>
      <c r="AE19" s="143"/>
      <c r="AF19" s="112"/>
      <c r="AG19" s="60"/>
    </row>
    <row r="20" spans="1:33" s="88" customFormat="1" ht="15.75" customHeight="1" x14ac:dyDescent="0.2">
      <c r="A20" s="59"/>
      <c r="B20" s="114"/>
      <c r="C20" s="120"/>
      <c r="D20" s="138"/>
      <c r="E20" s="138"/>
      <c r="F20" s="138"/>
      <c r="G20" s="138"/>
      <c r="H20" s="138"/>
      <c r="I20" s="138"/>
      <c r="J20" s="138" t="str">
        <f>IF(OR(H20="",G20=""),"",H20-G20)</f>
        <v/>
      </c>
      <c r="K20" s="141"/>
      <c r="L20" s="141"/>
      <c r="M20" s="144"/>
      <c r="N20" s="144"/>
      <c r="O20" s="144"/>
      <c r="P20" s="144"/>
      <c r="Q20" s="144"/>
      <c r="R20" s="144"/>
      <c r="S20" s="147"/>
      <c r="T20" s="147"/>
      <c r="U20" s="147"/>
      <c r="V20" s="147"/>
      <c r="W20" s="115"/>
      <c r="X20" s="115"/>
      <c r="Y20" s="115"/>
      <c r="Z20" s="144"/>
      <c r="AA20" s="114"/>
      <c r="AB20" s="144"/>
      <c r="AC20" s="114"/>
      <c r="AD20" s="144"/>
      <c r="AE20" s="144"/>
      <c r="AF20" s="114"/>
      <c r="AG20" s="60"/>
    </row>
    <row r="21" spans="1:33" s="88" customFormat="1" ht="15" x14ac:dyDescent="0.2">
      <c r="A21" s="59"/>
      <c r="B21" s="114"/>
      <c r="C21" s="114"/>
      <c r="D21" s="138"/>
      <c r="E21" s="138"/>
      <c r="F21" s="138"/>
      <c r="G21" s="138"/>
      <c r="H21" s="138"/>
      <c r="I21" s="138"/>
      <c r="J21" s="138" t="str">
        <f t="shared" ref="J21:J84" si="0">IF(OR(H21="",G21=""),"",H21-G21)</f>
        <v/>
      </c>
      <c r="K21" s="141"/>
      <c r="L21" s="141"/>
      <c r="M21" s="144"/>
      <c r="N21" s="144"/>
      <c r="O21" s="144"/>
      <c r="P21" s="144"/>
      <c r="Q21" s="144"/>
      <c r="R21" s="144"/>
      <c r="S21" s="147"/>
      <c r="T21" s="147"/>
      <c r="U21" s="147"/>
      <c r="V21" s="147"/>
      <c r="W21" s="115"/>
      <c r="X21" s="115"/>
      <c r="Y21" s="115"/>
      <c r="Z21" s="144"/>
      <c r="AA21" s="114"/>
      <c r="AB21" s="144"/>
      <c r="AC21" s="114"/>
      <c r="AD21" s="144"/>
      <c r="AE21" s="144"/>
      <c r="AF21" s="114"/>
      <c r="AG21" s="60"/>
    </row>
    <row r="22" spans="1:33" s="88" customFormat="1" ht="15" x14ac:dyDescent="0.2">
      <c r="A22" s="59"/>
      <c r="B22" s="114"/>
      <c r="C22" s="114"/>
      <c r="D22" s="138"/>
      <c r="E22" s="138"/>
      <c r="F22" s="138"/>
      <c r="G22" s="138"/>
      <c r="H22" s="138"/>
      <c r="I22" s="138"/>
      <c r="J22" s="138" t="str">
        <f t="shared" si="0"/>
        <v/>
      </c>
      <c r="K22" s="141"/>
      <c r="L22" s="141"/>
      <c r="M22" s="144"/>
      <c r="N22" s="144"/>
      <c r="O22" s="144"/>
      <c r="P22" s="144"/>
      <c r="Q22" s="144"/>
      <c r="R22" s="144"/>
      <c r="S22" s="147"/>
      <c r="T22" s="147"/>
      <c r="U22" s="147"/>
      <c r="V22" s="147"/>
      <c r="W22" s="115"/>
      <c r="X22" s="115"/>
      <c r="Y22" s="115"/>
      <c r="Z22" s="144"/>
      <c r="AA22" s="114"/>
      <c r="AB22" s="144"/>
      <c r="AC22" s="114"/>
      <c r="AD22" s="144"/>
      <c r="AE22" s="144"/>
      <c r="AF22" s="114"/>
      <c r="AG22" s="60"/>
    </row>
    <row r="23" spans="1:33" s="88" customFormat="1" ht="15" x14ac:dyDescent="0.2">
      <c r="A23" s="59"/>
      <c r="B23" s="114"/>
      <c r="C23" s="114"/>
      <c r="D23" s="138"/>
      <c r="E23" s="138"/>
      <c r="F23" s="138"/>
      <c r="G23" s="138"/>
      <c r="H23" s="138"/>
      <c r="I23" s="138"/>
      <c r="J23" s="138" t="str">
        <f t="shared" si="0"/>
        <v/>
      </c>
      <c r="K23" s="141"/>
      <c r="L23" s="141"/>
      <c r="M23" s="144"/>
      <c r="N23" s="144"/>
      <c r="O23" s="144"/>
      <c r="P23" s="144"/>
      <c r="Q23" s="144"/>
      <c r="R23" s="144"/>
      <c r="S23" s="147"/>
      <c r="T23" s="147"/>
      <c r="U23" s="147"/>
      <c r="V23" s="147"/>
      <c r="W23" s="115"/>
      <c r="X23" s="115"/>
      <c r="Y23" s="115"/>
      <c r="Z23" s="144"/>
      <c r="AA23" s="114"/>
      <c r="AB23" s="144"/>
      <c r="AC23" s="114"/>
      <c r="AD23" s="144"/>
      <c r="AE23" s="144"/>
      <c r="AF23" s="114"/>
      <c r="AG23" s="60"/>
    </row>
    <row r="24" spans="1:33" s="88" customFormat="1" ht="15" x14ac:dyDescent="0.2">
      <c r="A24" s="59"/>
      <c r="B24" s="114"/>
      <c r="C24" s="114"/>
      <c r="D24" s="138"/>
      <c r="E24" s="138"/>
      <c r="F24" s="138"/>
      <c r="G24" s="138"/>
      <c r="H24" s="138"/>
      <c r="I24" s="138"/>
      <c r="J24" s="138" t="str">
        <f t="shared" si="0"/>
        <v/>
      </c>
      <c r="K24" s="141"/>
      <c r="L24" s="141"/>
      <c r="M24" s="144"/>
      <c r="N24" s="144"/>
      <c r="O24" s="144"/>
      <c r="P24" s="144"/>
      <c r="Q24" s="144"/>
      <c r="R24" s="144"/>
      <c r="S24" s="147"/>
      <c r="T24" s="147"/>
      <c r="U24" s="147"/>
      <c r="V24" s="147"/>
      <c r="W24" s="115"/>
      <c r="X24" s="115"/>
      <c r="Y24" s="115"/>
      <c r="Z24" s="144"/>
      <c r="AA24" s="114"/>
      <c r="AB24" s="144"/>
      <c r="AC24" s="114"/>
      <c r="AD24" s="144"/>
      <c r="AE24" s="144"/>
      <c r="AF24" s="114"/>
      <c r="AG24" s="60"/>
    </row>
    <row r="25" spans="1:33" s="88" customFormat="1" ht="15" x14ac:dyDescent="0.2">
      <c r="A25" s="59"/>
      <c r="B25" s="114"/>
      <c r="C25" s="114"/>
      <c r="D25" s="138"/>
      <c r="E25" s="138"/>
      <c r="F25" s="138"/>
      <c r="G25" s="138"/>
      <c r="H25" s="138"/>
      <c r="I25" s="138"/>
      <c r="J25" s="138" t="str">
        <f t="shared" si="0"/>
        <v/>
      </c>
      <c r="K25" s="141"/>
      <c r="L25" s="141"/>
      <c r="M25" s="144"/>
      <c r="N25" s="144"/>
      <c r="O25" s="144"/>
      <c r="P25" s="144"/>
      <c r="Q25" s="144"/>
      <c r="R25" s="144"/>
      <c r="S25" s="147"/>
      <c r="T25" s="147"/>
      <c r="U25" s="147"/>
      <c r="V25" s="147"/>
      <c r="W25" s="115"/>
      <c r="X25" s="115"/>
      <c r="Y25" s="115"/>
      <c r="Z25" s="144"/>
      <c r="AA25" s="114"/>
      <c r="AB25" s="144"/>
      <c r="AC25" s="114"/>
      <c r="AD25" s="144"/>
      <c r="AE25" s="144"/>
      <c r="AF25" s="114"/>
      <c r="AG25" s="60"/>
    </row>
    <row r="26" spans="1:33" s="88" customFormat="1" ht="15" x14ac:dyDescent="0.2">
      <c r="A26" s="59"/>
      <c r="B26" s="114"/>
      <c r="C26" s="114"/>
      <c r="D26" s="138"/>
      <c r="E26" s="138"/>
      <c r="F26" s="138"/>
      <c r="G26" s="138"/>
      <c r="H26" s="138"/>
      <c r="I26" s="138"/>
      <c r="J26" s="138" t="str">
        <f t="shared" si="0"/>
        <v/>
      </c>
      <c r="K26" s="141"/>
      <c r="L26" s="141"/>
      <c r="M26" s="144"/>
      <c r="N26" s="144"/>
      <c r="O26" s="144"/>
      <c r="P26" s="144"/>
      <c r="Q26" s="144"/>
      <c r="R26" s="144"/>
      <c r="S26" s="147"/>
      <c r="T26" s="147"/>
      <c r="U26" s="147"/>
      <c r="V26" s="147"/>
      <c r="W26" s="115"/>
      <c r="X26" s="115"/>
      <c r="Y26" s="115"/>
      <c r="Z26" s="144"/>
      <c r="AA26" s="114"/>
      <c r="AB26" s="144"/>
      <c r="AC26" s="114"/>
      <c r="AD26" s="144"/>
      <c r="AE26" s="144"/>
      <c r="AF26" s="114"/>
      <c r="AG26" s="60"/>
    </row>
    <row r="27" spans="1:33" s="88" customFormat="1" ht="15" x14ac:dyDescent="0.2">
      <c r="A27" s="59"/>
      <c r="B27" s="114"/>
      <c r="C27" s="114"/>
      <c r="D27" s="138"/>
      <c r="E27" s="138"/>
      <c r="F27" s="138"/>
      <c r="G27" s="138"/>
      <c r="H27" s="138"/>
      <c r="I27" s="138"/>
      <c r="J27" s="138" t="str">
        <f t="shared" si="0"/>
        <v/>
      </c>
      <c r="K27" s="141"/>
      <c r="L27" s="141"/>
      <c r="M27" s="144"/>
      <c r="N27" s="144"/>
      <c r="O27" s="144"/>
      <c r="P27" s="144"/>
      <c r="Q27" s="144"/>
      <c r="R27" s="144"/>
      <c r="S27" s="147"/>
      <c r="T27" s="147"/>
      <c r="U27" s="147"/>
      <c r="V27" s="147"/>
      <c r="W27" s="115"/>
      <c r="X27" s="115"/>
      <c r="Y27" s="115"/>
      <c r="Z27" s="144"/>
      <c r="AA27" s="114"/>
      <c r="AB27" s="144"/>
      <c r="AC27" s="114"/>
      <c r="AD27" s="144"/>
      <c r="AE27" s="144"/>
      <c r="AF27" s="114"/>
      <c r="AG27" s="60"/>
    </row>
    <row r="28" spans="1:33" s="88" customFormat="1" ht="15" x14ac:dyDescent="0.2">
      <c r="A28" s="59"/>
      <c r="B28" s="114"/>
      <c r="C28" s="114"/>
      <c r="D28" s="138"/>
      <c r="E28" s="138"/>
      <c r="F28" s="138"/>
      <c r="G28" s="138"/>
      <c r="H28" s="138"/>
      <c r="I28" s="138"/>
      <c r="J28" s="138" t="str">
        <f t="shared" si="0"/>
        <v/>
      </c>
      <c r="K28" s="141"/>
      <c r="L28" s="141"/>
      <c r="M28" s="144"/>
      <c r="N28" s="144"/>
      <c r="O28" s="144"/>
      <c r="P28" s="144"/>
      <c r="Q28" s="144"/>
      <c r="R28" s="144"/>
      <c r="S28" s="147"/>
      <c r="T28" s="147"/>
      <c r="U28" s="147"/>
      <c r="V28" s="147"/>
      <c r="W28" s="115"/>
      <c r="X28" s="115"/>
      <c r="Y28" s="115"/>
      <c r="Z28" s="144"/>
      <c r="AA28" s="114"/>
      <c r="AB28" s="144"/>
      <c r="AC28" s="114"/>
      <c r="AD28" s="144"/>
      <c r="AE28" s="144"/>
      <c r="AF28" s="114"/>
      <c r="AG28" s="60"/>
    </row>
    <row r="29" spans="1:33" s="88" customFormat="1" ht="15" x14ac:dyDescent="0.2">
      <c r="A29" s="59"/>
      <c r="B29" s="114"/>
      <c r="C29" s="114"/>
      <c r="D29" s="138"/>
      <c r="E29" s="138"/>
      <c r="F29" s="138"/>
      <c r="G29" s="138"/>
      <c r="H29" s="138"/>
      <c r="I29" s="138"/>
      <c r="J29" s="138" t="str">
        <f t="shared" si="0"/>
        <v/>
      </c>
      <c r="K29" s="141"/>
      <c r="L29" s="141"/>
      <c r="M29" s="144"/>
      <c r="N29" s="144"/>
      <c r="O29" s="144"/>
      <c r="P29" s="144"/>
      <c r="Q29" s="144"/>
      <c r="R29" s="144"/>
      <c r="S29" s="147"/>
      <c r="T29" s="147"/>
      <c r="U29" s="147"/>
      <c r="V29" s="147"/>
      <c r="W29" s="115"/>
      <c r="X29" s="115"/>
      <c r="Y29" s="115"/>
      <c r="Z29" s="144"/>
      <c r="AA29" s="114"/>
      <c r="AB29" s="144"/>
      <c r="AC29" s="114"/>
      <c r="AD29" s="144"/>
      <c r="AE29" s="144"/>
      <c r="AF29" s="114"/>
      <c r="AG29" s="60"/>
    </row>
    <row r="30" spans="1:33" s="88" customFormat="1" ht="15" x14ac:dyDescent="0.2">
      <c r="A30" s="59"/>
      <c r="B30" s="114"/>
      <c r="C30" s="114"/>
      <c r="D30" s="138"/>
      <c r="E30" s="138"/>
      <c r="F30" s="138"/>
      <c r="G30" s="138"/>
      <c r="H30" s="138"/>
      <c r="I30" s="138"/>
      <c r="J30" s="138" t="str">
        <f t="shared" si="0"/>
        <v/>
      </c>
      <c r="K30" s="141"/>
      <c r="L30" s="141"/>
      <c r="M30" s="144"/>
      <c r="N30" s="144"/>
      <c r="O30" s="144"/>
      <c r="P30" s="144"/>
      <c r="Q30" s="144"/>
      <c r="R30" s="144"/>
      <c r="S30" s="147"/>
      <c r="T30" s="147"/>
      <c r="U30" s="147"/>
      <c r="V30" s="147"/>
      <c r="W30" s="115"/>
      <c r="X30" s="115"/>
      <c r="Y30" s="115"/>
      <c r="Z30" s="144"/>
      <c r="AA30" s="114"/>
      <c r="AB30" s="144"/>
      <c r="AC30" s="114"/>
      <c r="AD30" s="144"/>
      <c r="AE30" s="144"/>
      <c r="AF30" s="114"/>
      <c r="AG30" s="60"/>
    </row>
    <row r="31" spans="1:33" s="88" customFormat="1" ht="15" x14ac:dyDescent="0.2">
      <c r="A31" s="59"/>
      <c r="B31" s="114"/>
      <c r="C31" s="114"/>
      <c r="D31" s="138"/>
      <c r="E31" s="138"/>
      <c r="F31" s="138"/>
      <c r="G31" s="138"/>
      <c r="H31" s="138"/>
      <c r="I31" s="138"/>
      <c r="J31" s="138" t="str">
        <f t="shared" si="0"/>
        <v/>
      </c>
      <c r="K31" s="141"/>
      <c r="L31" s="141"/>
      <c r="M31" s="144"/>
      <c r="N31" s="144"/>
      <c r="O31" s="144"/>
      <c r="P31" s="144"/>
      <c r="Q31" s="144"/>
      <c r="R31" s="144"/>
      <c r="S31" s="147"/>
      <c r="T31" s="147"/>
      <c r="U31" s="147"/>
      <c r="V31" s="147"/>
      <c r="W31" s="115"/>
      <c r="X31" s="115"/>
      <c r="Y31" s="115"/>
      <c r="Z31" s="144"/>
      <c r="AA31" s="114"/>
      <c r="AB31" s="144"/>
      <c r="AC31" s="114"/>
      <c r="AD31" s="144"/>
      <c r="AE31" s="144"/>
      <c r="AF31" s="114"/>
      <c r="AG31" s="60"/>
    </row>
    <row r="32" spans="1:33" s="89" customFormat="1" ht="15" x14ac:dyDescent="0.2">
      <c r="A32" s="59"/>
      <c r="B32" s="114"/>
      <c r="C32" s="114"/>
      <c r="D32" s="138"/>
      <c r="E32" s="138"/>
      <c r="F32" s="138"/>
      <c r="G32" s="138"/>
      <c r="H32" s="138"/>
      <c r="I32" s="138"/>
      <c r="J32" s="138" t="str">
        <f t="shared" si="0"/>
        <v/>
      </c>
      <c r="K32" s="141"/>
      <c r="L32" s="141"/>
      <c r="M32" s="144"/>
      <c r="N32" s="144"/>
      <c r="O32" s="144"/>
      <c r="P32" s="144"/>
      <c r="Q32" s="144"/>
      <c r="R32" s="144"/>
      <c r="S32" s="147"/>
      <c r="T32" s="147"/>
      <c r="U32" s="147"/>
      <c r="V32" s="147"/>
      <c r="W32" s="115"/>
      <c r="X32" s="115"/>
      <c r="Y32" s="115"/>
      <c r="Z32" s="144"/>
      <c r="AA32" s="114"/>
      <c r="AB32" s="144"/>
      <c r="AC32" s="114"/>
      <c r="AD32" s="144"/>
      <c r="AE32" s="144"/>
      <c r="AF32" s="114"/>
      <c r="AG32" s="60"/>
    </row>
    <row r="33" spans="1:33" s="90" customFormat="1" ht="15.75" x14ac:dyDescent="0.2">
      <c r="A33" s="59"/>
      <c r="B33" s="114"/>
      <c r="C33" s="114"/>
      <c r="D33" s="138"/>
      <c r="E33" s="138"/>
      <c r="F33" s="138"/>
      <c r="G33" s="138"/>
      <c r="H33" s="138"/>
      <c r="I33" s="138"/>
      <c r="J33" s="138" t="str">
        <f t="shared" si="0"/>
        <v/>
      </c>
      <c r="K33" s="141"/>
      <c r="L33" s="141"/>
      <c r="M33" s="144"/>
      <c r="N33" s="144"/>
      <c r="O33" s="144"/>
      <c r="P33" s="144"/>
      <c r="Q33" s="144"/>
      <c r="R33" s="144"/>
      <c r="S33" s="147"/>
      <c r="T33" s="147"/>
      <c r="U33" s="147"/>
      <c r="V33" s="147"/>
      <c r="W33" s="115"/>
      <c r="X33" s="115"/>
      <c r="Y33" s="115"/>
      <c r="Z33" s="144"/>
      <c r="AA33" s="114"/>
      <c r="AB33" s="144"/>
      <c r="AC33" s="114"/>
      <c r="AD33" s="144"/>
      <c r="AE33" s="144"/>
      <c r="AF33" s="114"/>
      <c r="AG33" s="60"/>
    </row>
    <row r="34" spans="1:33" s="88" customFormat="1" ht="15" x14ac:dyDescent="0.2">
      <c r="A34" s="59"/>
      <c r="B34" s="114"/>
      <c r="C34" s="114"/>
      <c r="D34" s="138"/>
      <c r="E34" s="138"/>
      <c r="F34" s="138"/>
      <c r="G34" s="138"/>
      <c r="H34" s="138"/>
      <c r="I34" s="138"/>
      <c r="J34" s="138" t="str">
        <f t="shared" si="0"/>
        <v/>
      </c>
      <c r="K34" s="141"/>
      <c r="L34" s="141"/>
      <c r="M34" s="144"/>
      <c r="N34" s="144"/>
      <c r="O34" s="144"/>
      <c r="P34" s="144"/>
      <c r="Q34" s="144"/>
      <c r="R34" s="144"/>
      <c r="S34" s="147"/>
      <c r="T34" s="147"/>
      <c r="U34" s="147"/>
      <c r="V34" s="147"/>
      <c r="W34" s="115"/>
      <c r="X34" s="115"/>
      <c r="Y34" s="115"/>
      <c r="Z34" s="144"/>
      <c r="AA34" s="114"/>
      <c r="AB34" s="144"/>
      <c r="AC34" s="114"/>
      <c r="AD34" s="144"/>
      <c r="AE34" s="144"/>
      <c r="AF34" s="114"/>
      <c r="AG34" s="60"/>
    </row>
    <row r="35" spans="1:33" s="88" customFormat="1" ht="15" x14ac:dyDescent="0.2">
      <c r="A35" s="59"/>
      <c r="B35" s="114"/>
      <c r="C35" s="114"/>
      <c r="D35" s="138"/>
      <c r="E35" s="138"/>
      <c r="F35" s="138"/>
      <c r="G35" s="138"/>
      <c r="H35" s="138"/>
      <c r="I35" s="138"/>
      <c r="J35" s="138" t="str">
        <f t="shared" si="0"/>
        <v/>
      </c>
      <c r="K35" s="141"/>
      <c r="L35" s="141"/>
      <c r="M35" s="144"/>
      <c r="N35" s="144"/>
      <c r="O35" s="144"/>
      <c r="P35" s="144"/>
      <c r="Q35" s="144"/>
      <c r="R35" s="144"/>
      <c r="S35" s="147"/>
      <c r="T35" s="147"/>
      <c r="U35" s="147"/>
      <c r="V35" s="147"/>
      <c r="W35" s="115"/>
      <c r="X35" s="115"/>
      <c r="Y35" s="115"/>
      <c r="Z35" s="144"/>
      <c r="AA35" s="114"/>
      <c r="AB35" s="144"/>
      <c r="AC35" s="114"/>
      <c r="AD35" s="144"/>
      <c r="AE35" s="144"/>
      <c r="AF35" s="114"/>
      <c r="AG35" s="60"/>
    </row>
    <row r="36" spans="1:33" s="88" customFormat="1" ht="15" x14ac:dyDescent="0.2">
      <c r="A36" s="59"/>
      <c r="B36" s="114"/>
      <c r="C36" s="114"/>
      <c r="D36" s="138"/>
      <c r="E36" s="138"/>
      <c r="F36" s="138"/>
      <c r="G36" s="138"/>
      <c r="H36" s="138"/>
      <c r="I36" s="138"/>
      <c r="J36" s="138" t="str">
        <f t="shared" si="0"/>
        <v/>
      </c>
      <c r="K36" s="141"/>
      <c r="L36" s="141"/>
      <c r="M36" s="144"/>
      <c r="N36" s="144"/>
      <c r="O36" s="144"/>
      <c r="P36" s="144"/>
      <c r="Q36" s="144"/>
      <c r="R36" s="144"/>
      <c r="S36" s="147"/>
      <c r="T36" s="147"/>
      <c r="U36" s="147"/>
      <c r="V36" s="147"/>
      <c r="W36" s="115"/>
      <c r="X36" s="115"/>
      <c r="Y36" s="115"/>
      <c r="Z36" s="144"/>
      <c r="AA36" s="114"/>
      <c r="AB36" s="144"/>
      <c r="AC36" s="114"/>
      <c r="AD36" s="144"/>
      <c r="AE36" s="144"/>
      <c r="AF36" s="114"/>
      <c r="AG36" s="60"/>
    </row>
    <row r="37" spans="1:33" s="88" customFormat="1" ht="15" x14ac:dyDescent="0.2">
      <c r="A37" s="59"/>
      <c r="B37" s="114"/>
      <c r="C37" s="114"/>
      <c r="D37" s="138"/>
      <c r="E37" s="138"/>
      <c r="F37" s="138"/>
      <c r="G37" s="138"/>
      <c r="H37" s="138"/>
      <c r="I37" s="138"/>
      <c r="J37" s="138" t="str">
        <f t="shared" si="0"/>
        <v/>
      </c>
      <c r="K37" s="141"/>
      <c r="L37" s="141"/>
      <c r="M37" s="144"/>
      <c r="N37" s="144"/>
      <c r="O37" s="144"/>
      <c r="P37" s="144"/>
      <c r="Q37" s="144"/>
      <c r="R37" s="144"/>
      <c r="S37" s="147"/>
      <c r="T37" s="147"/>
      <c r="U37" s="147"/>
      <c r="V37" s="147"/>
      <c r="W37" s="115"/>
      <c r="X37" s="115"/>
      <c r="Y37" s="115"/>
      <c r="Z37" s="144"/>
      <c r="AA37" s="114"/>
      <c r="AB37" s="144"/>
      <c r="AC37" s="114"/>
      <c r="AD37" s="144"/>
      <c r="AE37" s="144"/>
      <c r="AF37" s="114"/>
      <c r="AG37" s="60"/>
    </row>
    <row r="38" spans="1:33" s="88" customFormat="1" ht="15" x14ac:dyDescent="0.2">
      <c r="A38" s="59"/>
      <c r="B38" s="114"/>
      <c r="C38" s="114"/>
      <c r="D38" s="138"/>
      <c r="E38" s="138"/>
      <c r="F38" s="138"/>
      <c r="G38" s="138"/>
      <c r="H38" s="138"/>
      <c r="I38" s="138"/>
      <c r="J38" s="138" t="str">
        <f t="shared" si="0"/>
        <v/>
      </c>
      <c r="K38" s="141"/>
      <c r="L38" s="141"/>
      <c r="M38" s="144"/>
      <c r="N38" s="144"/>
      <c r="O38" s="144"/>
      <c r="P38" s="144"/>
      <c r="Q38" s="144"/>
      <c r="R38" s="144"/>
      <c r="S38" s="147"/>
      <c r="T38" s="147"/>
      <c r="U38" s="147"/>
      <c r="V38" s="147"/>
      <c r="W38" s="115"/>
      <c r="X38" s="115"/>
      <c r="Y38" s="115"/>
      <c r="Z38" s="144"/>
      <c r="AA38" s="114"/>
      <c r="AB38" s="144"/>
      <c r="AC38" s="114"/>
      <c r="AD38" s="144"/>
      <c r="AE38" s="144"/>
      <c r="AF38" s="114"/>
      <c r="AG38" s="60"/>
    </row>
    <row r="39" spans="1:33" s="88" customFormat="1" ht="15" x14ac:dyDescent="0.2">
      <c r="A39" s="59"/>
      <c r="B39" s="114"/>
      <c r="C39" s="114"/>
      <c r="D39" s="138"/>
      <c r="E39" s="138"/>
      <c r="F39" s="138"/>
      <c r="G39" s="138"/>
      <c r="H39" s="138"/>
      <c r="I39" s="138"/>
      <c r="J39" s="138" t="str">
        <f t="shared" si="0"/>
        <v/>
      </c>
      <c r="K39" s="141"/>
      <c r="L39" s="141"/>
      <c r="M39" s="144"/>
      <c r="N39" s="144"/>
      <c r="O39" s="144"/>
      <c r="P39" s="144"/>
      <c r="Q39" s="144"/>
      <c r="R39" s="144"/>
      <c r="S39" s="147"/>
      <c r="T39" s="147"/>
      <c r="U39" s="147"/>
      <c r="V39" s="147"/>
      <c r="W39" s="115"/>
      <c r="X39" s="115"/>
      <c r="Y39" s="115"/>
      <c r="Z39" s="144"/>
      <c r="AA39" s="114"/>
      <c r="AB39" s="144"/>
      <c r="AC39" s="114"/>
      <c r="AD39" s="144"/>
      <c r="AE39" s="144"/>
      <c r="AF39" s="114"/>
      <c r="AG39" s="60"/>
    </row>
    <row r="40" spans="1:33" s="88" customFormat="1" ht="15" x14ac:dyDescent="0.2">
      <c r="A40" s="59"/>
      <c r="B40" s="114"/>
      <c r="C40" s="114"/>
      <c r="D40" s="138"/>
      <c r="E40" s="138"/>
      <c r="F40" s="138"/>
      <c r="G40" s="138"/>
      <c r="H40" s="138"/>
      <c r="I40" s="138"/>
      <c r="J40" s="138" t="str">
        <f t="shared" si="0"/>
        <v/>
      </c>
      <c r="K40" s="141"/>
      <c r="L40" s="141"/>
      <c r="M40" s="144"/>
      <c r="N40" s="144"/>
      <c r="O40" s="144"/>
      <c r="P40" s="144"/>
      <c r="Q40" s="144"/>
      <c r="R40" s="144"/>
      <c r="S40" s="147"/>
      <c r="T40" s="147"/>
      <c r="U40" s="147"/>
      <c r="V40" s="147"/>
      <c r="W40" s="115"/>
      <c r="X40" s="115"/>
      <c r="Y40" s="115"/>
      <c r="Z40" s="144"/>
      <c r="AA40" s="114"/>
      <c r="AB40" s="144"/>
      <c r="AC40" s="114"/>
      <c r="AD40" s="144"/>
      <c r="AE40" s="144"/>
      <c r="AF40" s="114"/>
      <c r="AG40" s="60"/>
    </row>
    <row r="41" spans="1:33" s="88" customFormat="1" ht="15" x14ac:dyDescent="0.2">
      <c r="A41" s="59"/>
      <c r="B41" s="114"/>
      <c r="C41" s="114"/>
      <c r="D41" s="138"/>
      <c r="E41" s="138"/>
      <c r="F41" s="138"/>
      <c r="G41" s="138"/>
      <c r="H41" s="138"/>
      <c r="I41" s="138"/>
      <c r="J41" s="138" t="str">
        <f t="shared" si="0"/>
        <v/>
      </c>
      <c r="K41" s="141"/>
      <c r="L41" s="141"/>
      <c r="M41" s="144"/>
      <c r="N41" s="144"/>
      <c r="O41" s="144"/>
      <c r="P41" s="144"/>
      <c r="Q41" s="144"/>
      <c r="R41" s="144"/>
      <c r="S41" s="147"/>
      <c r="T41" s="147"/>
      <c r="U41" s="147"/>
      <c r="V41" s="147"/>
      <c r="W41" s="115"/>
      <c r="X41" s="115"/>
      <c r="Y41" s="115"/>
      <c r="Z41" s="144"/>
      <c r="AA41" s="114"/>
      <c r="AB41" s="144"/>
      <c r="AC41" s="114"/>
      <c r="AD41" s="144"/>
      <c r="AE41" s="144"/>
      <c r="AF41" s="114"/>
      <c r="AG41" s="60"/>
    </row>
    <row r="42" spans="1:33" s="88" customFormat="1" ht="15" x14ac:dyDescent="0.2">
      <c r="A42" s="59"/>
      <c r="B42" s="114"/>
      <c r="C42" s="114"/>
      <c r="D42" s="138"/>
      <c r="E42" s="138"/>
      <c r="F42" s="138"/>
      <c r="G42" s="138"/>
      <c r="H42" s="138"/>
      <c r="I42" s="138"/>
      <c r="J42" s="138" t="str">
        <f t="shared" si="0"/>
        <v/>
      </c>
      <c r="K42" s="141"/>
      <c r="L42" s="141"/>
      <c r="M42" s="144"/>
      <c r="N42" s="144"/>
      <c r="O42" s="144"/>
      <c r="P42" s="144"/>
      <c r="Q42" s="144"/>
      <c r="R42" s="144"/>
      <c r="S42" s="147"/>
      <c r="T42" s="147"/>
      <c r="U42" s="147"/>
      <c r="V42" s="147"/>
      <c r="W42" s="115"/>
      <c r="X42" s="115"/>
      <c r="Y42" s="115"/>
      <c r="Z42" s="144"/>
      <c r="AA42" s="114"/>
      <c r="AB42" s="144"/>
      <c r="AC42" s="114"/>
      <c r="AD42" s="144"/>
      <c r="AE42" s="144"/>
      <c r="AF42" s="114"/>
      <c r="AG42" s="60"/>
    </row>
    <row r="43" spans="1:33" s="88" customFormat="1" ht="15" x14ac:dyDescent="0.2">
      <c r="A43" s="59"/>
      <c r="B43" s="114"/>
      <c r="C43" s="114"/>
      <c r="D43" s="138"/>
      <c r="E43" s="138"/>
      <c r="F43" s="138"/>
      <c r="G43" s="138"/>
      <c r="H43" s="138"/>
      <c r="I43" s="138"/>
      <c r="J43" s="138" t="str">
        <f t="shared" si="0"/>
        <v/>
      </c>
      <c r="K43" s="141"/>
      <c r="L43" s="141"/>
      <c r="M43" s="144"/>
      <c r="N43" s="144"/>
      <c r="O43" s="144"/>
      <c r="P43" s="144"/>
      <c r="Q43" s="144"/>
      <c r="R43" s="144"/>
      <c r="S43" s="147"/>
      <c r="T43" s="147"/>
      <c r="U43" s="147"/>
      <c r="V43" s="147"/>
      <c r="W43" s="115"/>
      <c r="X43" s="115"/>
      <c r="Y43" s="115"/>
      <c r="Z43" s="144"/>
      <c r="AA43" s="114"/>
      <c r="AB43" s="144"/>
      <c r="AC43" s="114"/>
      <c r="AD43" s="144"/>
      <c r="AE43" s="144"/>
      <c r="AF43" s="114"/>
      <c r="AG43" s="60"/>
    </row>
    <row r="44" spans="1:33" s="88" customFormat="1" ht="15" x14ac:dyDescent="0.2">
      <c r="A44" s="59"/>
      <c r="B44" s="114"/>
      <c r="C44" s="114"/>
      <c r="D44" s="138"/>
      <c r="E44" s="138"/>
      <c r="F44" s="138"/>
      <c r="G44" s="138"/>
      <c r="H44" s="138"/>
      <c r="I44" s="138"/>
      <c r="J44" s="138" t="str">
        <f t="shared" si="0"/>
        <v/>
      </c>
      <c r="K44" s="141"/>
      <c r="L44" s="141"/>
      <c r="M44" s="144"/>
      <c r="N44" s="144"/>
      <c r="O44" s="144"/>
      <c r="P44" s="144"/>
      <c r="Q44" s="144"/>
      <c r="R44" s="144"/>
      <c r="S44" s="147"/>
      <c r="T44" s="147"/>
      <c r="U44" s="147"/>
      <c r="V44" s="147"/>
      <c r="W44" s="115"/>
      <c r="X44" s="115"/>
      <c r="Y44" s="115"/>
      <c r="Z44" s="144"/>
      <c r="AA44" s="114"/>
      <c r="AB44" s="144"/>
      <c r="AC44" s="114"/>
      <c r="AD44" s="144"/>
      <c r="AE44" s="144"/>
      <c r="AF44" s="114"/>
      <c r="AG44" s="60"/>
    </row>
    <row r="45" spans="1:33" s="88" customFormat="1" ht="15" x14ac:dyDescent="0.2">
      <c r="A45" s="59"/>
      <c r="B45" s="114"/>
      <c r="C45" s="114"/>
      <c r="D45" s="138"/>
      <c r="E45" s="138"/>
      <c r="F45" s="138"/>
      <c r="G45" s="138"/>
      <c r="H45" s="138"/>
      <c r="I45" s="138"/>
      <c r="J45" s="138" t="str">
        <f t="shared" si="0"/>
        <v/>
      </c>
      <c r="K45" s="141"/>
      <c r="L45" s="141"/>
      <c r="M45" s="144"/>
      <c r="N45" s="144"/>
      <c r="O45" s="144"/>
      <c r="P45" s="144"/>
      <c r="Q45" s="144"/>
      <c r="R45" s="144"/>
      <c r="S45" s="147"/>
      <c r="T45" s="147"/>
      <c r="U45" s="147"/>
      <c r="V45" s="147"/>
      <c r="W45" s="115"/>
      <c r="X45" s="115"/>
      <c r="Y45" s="115"/>
      <c r="Z45" s="144"/>
      <c r="AA45" s="114"/>
      <c r="AB45" s="144"/>
      <c r="AC45" s="114"/>
      <c r="AD45" s="144"/>
      <c r="AE45" s="144"/>
      <c r="AF45" s="114"/>
      <c r="AG45" s="60"/>
    </row>
    <row r="46" spans="1:33" s="88" customFormat="1" ht="15" x14ac:dyDescent="0.2">
      <c r="A46" s="59"/>
      <c r="B46" s="114"/>
      <c r="C46" s="114"/>
      <c r="D46" s="138"/>
      <c r="E46" s="138"/>
      <c r="F46" s="138"/>
      <c r="G46" s="138"/>
      <c r="H46" s="138"/>
      <c r="I46" s="138"/>
      <c r="J46" s="138" t="str">
        <f t="shared" si="0"/>
        <v/>
      </c>
      <c r="K46" s="141"/>
      <c r="L46" s="141"/>
      <c r="M46" s="144"/>
      <c r="N46" s="144"/>
      <c r="O46" s="144"/>
      <c r="P46" s="144"/>
      <c r="Q46" s="144"/>
      <c r="R46" s="144"/>
      <c r="S46" s="147"/>
      <c r="T46" s="147"/>
      <c r="U46" s="147"/>
      <c r="V46" s="147"/>
      <c r="W46" s="115"/>
      <c r="X46" s="115"/>
      <c r="Y46" s="115"/>
      <c r="Z46" s="144"/>
      <c r="AA46" s="114"/>
      <c r="AB46" s="144"/>
      <c r="AC46" s="114"/>
      <c r="AD46" s="144"/>
      <c r="AE46" s="144"/>
      <c r="AF46" s="114"/>
      <c r="AG46" s="60"/>
    </row>
    <row r="47" spans="1:33" s="88" customFormat="1" ht="15" x14ac:dyDescent="0.2">
      <c r="A47" s="59"/>
      <c r="B47" s="114"/>
      <c r="C47" s="114"/>
      <c r="D47" s="138"/>
      <c r="E47" s="138"/>
      <c r="F47" s="138"/>
      <c r="G47" s="138"/>
      <c r="H47" s="138"/>
      <c r="I47" s="138"/>
      <c r="J47" s="138" t="str">
        <f t="shared" si="0"/>
        <v/>
      </c>
      <c r="K47" s="141"/>
      <c r="L47" s="141"/>
      <c r="M47" s="144"/>
      <c r="N47" s="144"/>
      <c r="O47" s="144"/>
      <c r="P47" s="144"/>
      <c r="Q47" s="144"/>
      <c r="R47" s="144"/>
      <c r="S47" s="147"/>
      <c r="T47" s="147"/>
      <c r="U47" s="147"/>
      <c r="V47" s="147"/>
      <c r="W47" s="115"/>
      <c r="X47" s="115"/>
      <c r="Y47" s="115"/>
      <c r="Z47" s="144"/>
      <c r="AA47" s="114"/>
      <c r="AB47" s="144"/>
      <c r="AC47" s="114"/>
      <c r="AD47" s="144"/>
      <c r="AE47" s="144"/>
      <c r="AF47" s="114"/>
      <c r="AG47" s="60"/>
    </row>
    <row r="48" spans="1:33" s="88" customFormat="1" ht="15" x14ac:dyDescent="0.2">
      <c r="A48" s="59"/>
      <c r="B48" s="114"/>
      <c r="C48" s="114"/>
      <c r="D48" s="138"/>
      <c r="E48" s="138"/>
      <c r="F48" s="138"/>
      <c r="G48" s="138"/>
      <c r="H48" s="138"/>
      <c r="I48" s="138"/>
      <c r="J48" s="138" t="str">
        <f t="shared" si="0"/>
        <v/>
      </c>
      <c r="K48" s="141"/>
      <c r="L48" s="141"/>
      <c r="M48" s="144"/>
      <c r="N48" s="144"/>
      <c r="O48" s="144"/>
      <c r="P48" s="144"/>
      <c r="Q48" s="144"/>
      <c r="R48" s="144"/>
      <c r="S48" s="147"/>
      <c r="T48" s="147"/>
      <c r="U48" s="147"/>
      <c r="V48" s="147"/>
      <c r="W48" s="115"/>
      <c r="X48" s="115"/>
      <c r="Y48" s="115"/>
      <c r="Z48" s="144"/>
      <c r="AA48" s="114"/>
      <c r="AB48" s="144"/>
      <c r="AC48" s="114"/>
      <c r="AD48" s="144"/>
      <c r="AE48" s="144"/>
      <c r="AF48" s="114"/>
      <c r="AG48" s="60"/>
    </row>
    <row r="49" spans="1:33" s="88" customFormat="1" ht="15" x14ac:dyDescent="0.2">
      <c r="A49" s="59"/>
      <c r="B49" s="114"/>
      <c r="C49" s="114"/>
      <c r="D49" s="138"/>
      <c r="E49" s="138"/>
      <c r="F49" s="138"/>
      <c r="G49" s="138"/>
      <c r="H49" s="138"/>
      <c r="I49" s="138"/>
      <c r="J49" s="138" t="str">
        <f t="shared" si="0"/>
        <v/>
      </c>
      <c r="K49" s="141"/>
      <c r="L49" s="141"/>
      <c r="M49" s="144"/>
      <c r="N49" s="144"/>
      <c r="O49" s="144"/>
      <c r="P49" s="144"/>
      <c r="Q49" s="144"/>
      <c r="R49" s="144"/>
      <c r="S49" s="147"/>
      <c r="T49" s="147"/>
      <c r="U49" s="147"/>
      <c r="V49" s="147"/>
      <c r="W49" s="115"/>
      <c r="X49" s="115"/>
      <c r="Y49" s="115"/>
      <c r="Z49" s="144"/>
      <c r="AA49" s="114"/>
      <c r="AB49" s="144"/>
      <c r="AC49" s="114"/>
      <c r="AD49" s="144"/>
      <c r="AE49" s="144"/>
      <c r="AF49" s="114"/>
      <c r="AG49" s="60"/>
    </row>
    <row r="50" spans="1:33" s="88" customFormat="1" ht="15" x14ac:dyDescent="0.2">
      <c r="A50" s="59"/>
      <c r="B50" s="114"/>
      <c r="C50" s="114"/>
      <c r="D50" s="138"/>
      <c r="E50" s="138"/>
      <c r="F50" s="138"/>
      <c r="G50" s="138"/>
      <c r="H50" s="138"/>
      <c r="I50" s="138"/>
      <c r="J50" s="138" t="str">
        <f t="shared" si="0"/>
        <v/>
      </c>
      <c r="K50" s="141"/>
      <c r="L50" s="141"/>
      <c r="M50" s="144"/>
      <c r="N50" s="144"/>
      <c r="O50" s="144"/>
      <c r="P50" s="144"/>
      <c r="Q50" s="144"/>
      <c r="R50" s="144"/>
      <c r="S50" s="147"/>
      <c r="T50" s="147"/>
      <c r="U50" s="147"/>
      <c r="V50" s="147"/>
      <c r="W50" s="115"/>
      <c r="X50" s="115"/>
      <c r="Y50" s="115"/>
      <c r="Z50" s="144"/>
      <c r="AA50" s="114"/>
      <c r="AB50" s="144"/>
      <c r="AC50" s="114"/>
      <c r="AD50" s="144"/>
      <c r="AE50" s="144"/>
      <c r="AF50" s="114"/>
      <c r="AG50" s="60"/>
    </row>
    <row r="51" spans="1:33" s="88" customFormat="1" ht="15" x14ac:dyDescent="0.2">
      <c r="A51" s="59"/>
      <c r="B51" s="114"/>
      <c r="C51" s="114"/>
      <c r="D51" s="138"/>
      <c r="E51" s="138"/>
      <c r="F51" s="138"/>
      <c r="G51" s="138"/>
      <c r="H51" s="138"/>
      <c r="I51" s="138"/>
      <c r="J51" s="138" t="str">
        <f t="shared" si="0"/>
        <v/>
      </c>
      <c r="K51" s="141"/>
      <c r="L51" s="141"/>
      <c r="M51" s="144"/>
      <c r="N51" s="144"/>
      <c r="O51" s="144"/>
      <c r="P51" s="144"/>
      <c r="Q51" s="144"/>
      <c r="R51" s="144"/>
      <c r="S51" s="147"/>
      <c r="T51" s="147"/>
      <c r="U51" s="147"/>
      <c r="V51" s="147"/>
      <c r="W51" s="115"/>
      <c r="X51" s="115"/>
      <c r="Y51" s="115"/>
      <c r="Z51" s="144"/>
      <c r="AA51" s="114"/>
      <c r="AB51" s="144"/>
      <c r="AC51" s="114"/>
      <c r="AD51" s="144"/>
      <c r="AE51" s="144"/>
      <c r="AF51" s="114"/>
      <c r="AG51" s="60"/>
    </row>
    <row r="52" spans="1:33" s="88" customFormat="1" ht="15" x14ac:dyDescent="0.2">
      <c r="A52" s="59"/>
      <c r="B52" s="114"/>
      <c r="C52" s="114"/>
      <c r="D52" s="138"/>
      <c r="E52" s="138"/>
      <c r="F52" s="138"/>
      <c r="G52" s="138"/>
      <c r="H52" s="138"/>
      <c r="I52" s="138"/>
      <c r="J52" s="138" t="str">
        <f t="shared" si="0"/>
        <v/>
      </c>
      <c r="K52" s="141"/>
      <c r="L52" s="141"/>
      <c r="M52" s="144"/>
      <c r="N52" s="144"/>
      <c r="O52" s="144"/>
      <c r="P52" s="144"/>
      <c r="Q52" s="144"/>
      <c r="R52" s="144"/>
      <c r="S52" s="147"/>
      <c r="T52" s="147"/>
      <c r="U52" s="147"/>
      <c r="V52" s="147"/>
      <c r="W52" s="115"/>
      <c r="X52" s="115"/>
      <c r="Y52" s="115"/>
      <c r="Z52" s="144"/>
      <c r="AA52" s="114"/>
      <c r="AB52" s="144"/>
      <c r="AC52" s="114"/>
      <c r="AD52" s="144"/>
      <c r="AE52" s="144"/>
      <c r="AF52" s="114"/>
      <c r="AG52" s="60"/>
    </row>
    <row r="53" spans="1:33" s="88" customFormat="1" ht="15" x14ac:dyDescent="0.2">
      <c r="A53" s="59"/>
      <c r="B53" s="114"/>
      <c r="C53" s="114"/>
      <c r="D53" s="138"/>
      <c r="E53" s="138"/>
      <c r="F53" s="138"/>
      <c r="G53" s="138"/>
      <c r="H53" s="138"/>
      <c r="I53" s="138"/>
      <c r="J53" s="138" t="str">
        <f t="shared" si="0"/>
        <v/>
      </c>
      <c r="K53" s="141"/>
      <c r="L53" s="141"/>
      <c r="M53" s="144"/>
      <c r="N53" s="144"/>
      <c r="O53" s="144"/>
      <c r="P53" s="144"/>
      <c r="Q53" s="144"/>
      <c r="R53" s="144"/>
      <c r="S53" s="147"/>
      <c r="T53" s="147"/>
      <c r="U53" s="147"/>
      <c r="V53" s="147"/>
      <c r="W53" s="115"/>
      <c r="X53" s="115"/>
      <c r="Y53" s="115"/>
      <c r="Z53" s="144"/>
      <c r="AA53" s="114"/>
      <c r="AB53" s="144"/>
      <c r="AC53" s="114"/>
      <c r="AD53" s="144"/>
      <c r="AE53" s="144"/>
      <c r="AF53" s="114"/>
      <c r="AG53" s="60"/>
    </row>
    <row r="54" spans="1:33" s="88" customFormat="1" ht="15" x14ac:dyDescent="0.2">
      <c r="A54" s="59"/>
      <c r="B54" s="114"/>
      <c r="C54" s="114"/>
      <c r="D54" s="138"/>
      <c r="E54" s="138"/>
      <c r="F54" s="138"/>
      <c r="G54" s="138"/>
      <c r="H54" s="138"/>
      <c r="I54" s="138"/>
      <c r="J54" s="138" t="str">
        <f t="shared" si="0"/>
        <v/>
      </c>
      <c r="K54" s="141"/>
      <c r="L54" s="141"/>
      <c r="M54" s="144"/>
      <c r="N54" s="144"/>
      <c r="O54" s="144"/>
      <c r="P54" s="144"/>
      <c r="Q54" s="144"/>
      <c r="R54" s="144"/>
      <c r="S54" s="147"/>
      <c r="T54" s="147"/>
      <c r="U54" s="147"/>
      <c r="V54" s="147"/>
      <c r="W54" s="115"/>
      <c r="X54" s="115"/>
      <c r="Y54" s="115"/>
      <c r="Z54" s="144"/>
      <c r="AA54" s="114"/>
      <c r="AB54" s="144"/>
      <c r="AC54" s="114"/>
      <c r="AD54" s="144"/>
      <c r="AE54" s="144"/>
      <c r="AF54" s="114"/>
      <c r="AG54" s="60"/>
    </row>
    <row r="55" spans="1:33" s="88" customFormat="1" ht="15" x14ac:dyDescent="0.2">
      <c r="A55" s="59"/>
      <c r="B55" s="114"/>
      <c r="C55" s="114"/>
      <c r="D55" s="138"/>
      <c r="E55" s="138"/>
      <c r="F55" s="138"/>
      <c r="G55" s="138"/>
      <c r="H55" s="138"/>
      <c r="I55" s="138"/>
      <c r="J55" s="138" t="str">
        <f t="shared" si="0"/>
        <v/>
      </c>
      <c r="K55" s="141"/>
      <c r="L55" s="141"/>
      <c r="M55" s="144"/>
      <c r="N55" s="144"/>
      <c r="O55" s="144"/>
      <c r="P55" s="144"/>
      <c r="Q55" s="144"/>
      <c r="R55" s="144"/>
      <c r="S55" s="147"/>
      <c r="T55" s="147"/>
      <c r="U55" s="147"/>
      <c r="V55" s="147"/>
      <c r="W55" s="115"/>
      <c r="X55" s="115"/>
      <c r="Y55" s="115"/>
      <c r="Z55" s="144"/>
      <c r="AA55" s="114"/>
      <c r="AB55" s="144"/>
      <c r="AC55" s="114"/>
      <c r="AD55" s="144"/>
      <c r="AE55" s="144"/>
      <c r="AF55" s="114"/>
      <c r="AG55" s="60"/>
    </row>
    <row r="56" spans="1:33" s="88" customFormat="1" ht="15" x14ac:dyDescent="0.2">
      <c r="A56" s="59"/>
      <c r="B56" s="114"/>
      <c r="C56" s="114"/>
      <c r="D56" s="138"/>
      <c r="E56" s="138"/>
      <c r="F56" s="138"/>
      <c r="G56" s="138"/>
      <c r="H56" s="138"/>
      <c r="I56" s="138"/>
      <c r="J56" s="138" t="str">
        <f t="shared" si="0"/>
        <v/>
      </c>
      <c r="K56" s="141"/>
      <c r="L56" s="141"/>
      <c r="M56" s="144"/>
      <c r="N56" s="144"/>
      <c r="O56" s="144"/>
      <c r="P56" s="144"/>
      <c r="Q56" s="144"/>
      <c r="R56" s="144"/>
      <c r="S56" s="147"/>
      <c r="T56" s="147"/>
      <c r="U56" s="147"/>
      <c r="V56" s="147"/>
      <c r="W56" s="115"/>
      <c r="X56" s="115"/>
      <c r="Y56" s="115"/>
      <c r="Z56" s="144"/>
      <c r="AA56" s="114"/>
      <c r="AB56" s="144"/>
      <c r="AC56" s="114"/>
      <c r="AD56" s="144"/>
      <c r="AE56" s="144"/>
      <c r="AF56" s="114"/>
      <c r="AG56" s="60"/>
    </row>
    <row r="57" spans="1:33" s="88" customFormat="1" ht="15" x14ac:dyDescent="0.2">
      <c r="A57" s="59"/>
      <c r="B57" s="114"/>
      <c r="C57" s="114"/>
      <c r="D57" s="138"/>
      <c r="E57" s="138"/>
      <c r="F57" s="138"/>
      <c r="G57" s="138"/>
      <c r="H57" s="138"/>
      <c r="I57" s="138"/>
      <c r="J57" s="138" t="str">
        <f t="shared" si="0"/>
        <v/>
      </c>
      <c r="K57" s="141"/>
      <c r="L57" s="141"/>
      <c r="M57" s="144"/>
      <c r="N57" s="144"/>
      <c r="O57" s="144"/>
      <c r="P57" s="144"/>
      <c r="Q57" s="144"/>
      <c r="R57" s="144"/>
      <c r="S57" s="147"/>
      <c r="T57" s="147"/>
      <c r="U57" s="147"/>
      <c r="V57" s="147"/>
      <c r="W57" s="115"/>
      <c r="X57" s="115"/>
      <c r="Y57" s="115"/>
      <c r="Z57" s="144"/>
      <c r="AA57" s="114"/>
      <c r="AB57" s="144"/>
      <c r="AC57" s="114"/>
      <c r="AD57" s="144"/>
      <c r="AE57" s="144"/>
      <c r="AF57" s="114"/>
      <c r="AG57" s="60"/>
    </row>
    <row r="58" spans="1:33" s="88" customFormat="1" ht="15" x14ac:dyDescent="0.2">
      <c r="A58" s="59"/>
      <c r="B58" s="114"/>
      <c r="C58" s="114"/>
      <c r="D58" s="138"/>
      <c r="E58" s="138"/>
      <c r="F58" s="138"/>
      <c r="G58" s="138"/>
      <c r="H58" s="138"/>
      <c r="I58" s="138"/>
      <c r="J58" s="138" t="str">
        <f t="shared" si="0"/>
        <v/>
      </c>
      <c r="K58" s="141"/>
      <c r="L58" s="141"/>
      <c r="M58" s="144"/>
      <c r="N58" s="144"/>
      <c r="O58" s="144"/>
      <c r="P58" s="144"/>
      <c r="Q58" s="144"/>
      <c r="R58" s="144"/>
      <c r="S58" s="147"/>
      <c r="T58" s="147"/>
      <c r="U58" s="147"/>
      <c r="V58" s="147"/>
      <c r="W58" s="115"/>
      <c r="X58" s="115"/>
      <c r="Y58" s="115"/>
      <c r="Z58" s="144"/>
      <c r="AA58" s="114"/>
      <c r="AB58" s="144"/>
      <c r="AC58" s="114"/>
      <c r="AD58" s="144"/>
      <c r="AE58" s="144"/>
      <c r="AF58" s="114"/>
      <c r="AG58" s="60"/>
    </row>
    <row r="59" spans="1:33" s="88" customFormat="1" ht="15" x14ac:dyDescent="0.2">
      <c r="A59" s="59"/>
      <c r="B59" s="114"/>
      <c r="C59" s="114"/>
      <c r="D59" s="138"/>
      <c r="E59" s="138"/>
      <c r="F59" s="138"/>
      <c r="G59" s="138"/>
      <c r="H59" s="138"/>
      <c r="I59" s="138"/>
      <c r="J59" s="138" t="str">
        <f t="shared" si="0"/>
        <v/>
      </c>
      <c r="K59" s="141"/>
      <c r="L59" s="141"/>
      <c r="M59" s="144"/>
      <c r="N59" s="144"/>
      <c r="O59" s="144"/>
      <c r="P59" s="144"/>
      <c r="Q59" s="144"/>
      <c r="R59" s="144"/>
      <c r="S59" s="147"/>
      <c r="T59" s="147"/>
      <c r="U59" s="147"/>
      <c r="V59" s="147"/>
      <c r="W59" s="115"/>
      <c r="X59" s="115"/>
      <c r="Y59" s="115"/>
      <c r="Z59" s="144"/>
      <c r="AA59" s="114"/>
      <c r="AB59" s="144"/>
      <c r="AC59" s="114"/>
      <c r="AD59" s="144"/>
      <c r="AE59" s="144"/>
      <c r="AF59" s="114"/>
      <c r="AG59" s="60"/>
    </row>
    <row r="60" spans="1:33" s="88" customFormat="1" ht="15" x14ac:dyDescent="0.2">
      <c r="A60" s="59"/>
      <c r="B60" s="114"/>
      <c r="C60" s="114"/>
      <c r="D60" s="138"/>
      <c r="E60" s="138"/>
      <c r="F60" s="138"/>
      <c r="G60" s="138"/>
      <c r="H60" s="138"/>
      <c r="I60" s="138"/>
      <c r="J60" s="138" t="str">
        <f t="shared" si="0"/>
        <v/>
      </c>
      <c r="K60" s="141"/>
      <c r="L60" s="141"/>
      <c r="M60" s="144"/>
      <c r="N60" s="144"/>
      <c r="O60" s="144"/>
      <c r="P60" s="144"/>
      <c r="Q60" s="144"/>
      <c r="R60" s="144"/>
      <c r="S60" s="147"/>
      <c r="T60" s="147"/>
      <c r="U60" s="147"/>
      <c r="V60" s="147"/>
      <c r="W60" s="115"/>
      <c r="X60" s="115"/>
      <c r="Y60" s="115"/>
      <c r="Z60" s="144"/>
      <c r="AA60" s="114"/>
      <c r="AB60" s="144"/>
      <c r="AC60" s="114"/>
      <c r="AD60" s="144"/>
      <c r="AE60" s="144"/>
      <c r="AF60" s="114"/>
      <c r="AG60" s="60"/>
    </row>
    <row r="61" spans="1:33" s="88" customFormat="1" ht="15" x14ac:dyDescent="0.2">
      <c r="A61" s="59"/>
      <c r="B61" s="114"/>
      <c r="C61" s="114"/>
      <c r="D61" s="138"/>
      <c r="E61" s="138"/>
      <c r="F61" s="138"/>
      <c r="G61" s="138"/>
      <c r="H61" s="138"/>
      <c r="I61" s="138"/>
      <c r="J61" s="138" t="str">
        <f t="shared" si="0"/>
        <v/>
      </c>
      <c r="K61" s="141"/>
      <c r="L61" s="141"/>
      <c r="M61" s="144"/>
      <c r="N61" s="144"/>
      <c r="O61" s="144"/>
      <c r="P61" s="144"/>
      <c r="Q61" s="144"/>
      <c r="R61" s="144"/>
      <c r="S61" s="147"/>
      <c r="T61" s="147"/>
      <c r="U61" s="147"/>
      <c r="V61" s="147"/>
      <c r="W61" s="115"/>
      <c r="X61" s="115"/>
      <c r="Y61" s="115"/>
      <c r="Z61" s="144"/>
      <c r="AA61" s="114"/>
      <c r="AB61" s="144"/>
      <c r="AC61" s="114"/>
      <c r="AD61" s="144"/>
      <c r="AE61" s="144"/>
      <c r="AF61" s="114"/>
      <c r="AG61" s="60"/>
    </row>
    <row r="62" spans="1:33" s="88" customFormat="1" ht="15" x14ac:dyDescent="0.2">
      <c r="A62" s="59"/>
      <c r="B62" s="114"/>
      <c r="C62" s="114"/>
      <c r="D62" s="138"/>
      <c r="E62" s="138"/>
      <c r="F62" s="138"/>
      <c r="G62" s="138"/>
      <c r="H62" s="138"/>
      <c r="I62" s="138"/>
      <c r="J62" s="138" t="str">
        <f t="shared" si="0"/>
        <v/>
      </c>
      <c r="K62" s="141"/>
      <c r="L62" s="141"/>
      <c r="M62" s="144"/>
      <c r="N62" s="144"/>
      <c r="O62" s="144"/>
      <c r="P62" s="144"/>
      <c r="Q62" s="144"/>
      <c r="R62" s="144"/>
      <c r="S62" s="147"/>
      <c r="T62" s="147"/>
      <c r="U62" s="147"/>
      <c r="V62" s="147"/>
      <c r="W62" s="115"/>
      <c r="X62" s="115"/>
      <c r="Y62" s="115"/>
      <c r="Z62" s="144"/>
      <c r="AA62" s="114"/>
      <c r="AB62" s="144"/>
      <c r="AC62" s="114"/>
      <c r="AD62" s="144"/>
      <c r="AE62" s="144"/>
      <c r="AF62" s="114"/>
      <c r="AG62" s="60"/>
    </row>
    <row r="63" spans="1:33" s="88" customFormat="1" ht="15" x14ac:dyDescent="0.2">
      <c r="A63" s="59"/>
      <c r="B63" s="114"/>
      <c r="C63" s="114"/>
      <c r="D63" s="138"/>
      <c r="E63" s="138"/>
      <c r="F63" s="138"/>
      <c r="G63" s="138"/>
      <c r="H63" s="138"/>
      <c r="I63" s="138"/>
      <c r="J63" s="138" t="str">
        <f t="shared" si="0"/>
        <v/>
      </c>
      <c r="K63" s="141"/>
      <c r="L63" s="141"/>
      <c r="M63" s="144"/>
      <c r="N63" s="144"/>
      <c r="O63" s="144"/>
      <c r="P63" s="144"/>
      <c r="Q63" s="144"/>
      <c r="R63" s="144"/>
      <c r="S63" s="147"/>
      <c r="T63" s="147"/>
      <c r="U63" s="147"/>
      <c r="V63" s="147"/>
      <c r="W63" s="115"/>
      <c r="X63" s="115"/>
      <c r="Y63" s="115"/>
      <c r="Z63" s="144"/>
      <c r="AA63" s="114"/>
      <c r="AB63" s="144"/>
      <c r="AC63" s="114"/>
      <c r="AD63" s="144"/>
      <c r="AE63" s="144"/>
      <c r="AF63" s="114"/>
      <c r="AG63" s="60"/>
    </row>
    <row r="64" spans="1:33" s="88" customFormat="1" ht="15" x14ac:dyDescent="0.2">
      <c r="A64" s="59"/>
      <c r="B64" s="114"/>
      <c r="C64" s="114"/>
      <c r="D64" s="138"/>
      <c r="E64" s="138"/>
      <c r="F64" s="138"/>
      <c r="G64" s="138"/>
      <c r="H64" s="138"/>
      <c r="I64" s="138"/>
      <c r="J64" s="138" t="str">
        <f t="shared" si="0"/>
        <v/>
      </c>
      <c r="K64" s="141"/>
      <c r="L64" s="141"/>
      <c r="M64" s="144"/>
      <c r="N64" s="144"/>
      <c r="O64" s="144"/>
      <c r="P64" s="144"/>
      <c r="Q64" s="144"/>
      <c r="R64" s="144"/>
      <c r="S64" s="147"/>
      <c r="T64" s="147"/>
      <c r="U64" s="147"/>
      <c r="V64" s="147"/>
      <c r="W64" s="115"/>
      <c r="X64" s="115"/>
      <c r="Y64" s="115"/>
      <c r="Z64" s="144"/>
      <c r="AA64" s="114"/>
      <c r="AB64" s="144"/>
      <c r="AC64" s="114"/>
      <c r="AD64" s="144"/>
      <c r="AE64" s="144"/>
      <c r="AF64" s="114"/>
      <c r="AG64" s="60"/>
    </row>
    <row r="65" spans="1:33" s="88" customFormat="1" ht="15" x14ac:dyDescent="0.2">
      <c r="A65" s="59"/>
      <c r="B65" s="114"/>
      <c r="C65" s="114"/>
      <c r="D65" s="138"/>
      <c r="E65" s="138"/>
      <c r="F65" s="138"/>
      <c r="G65" s="138"/>
      <c r="H65" s="138"/>
      <c r="I65" s="138"/>
      <c r="J65" s="138" t="str">
        <f t="shared" si="0"/>
        <v/>
      </c>
      <c r="K65" s="141"/>
      <c r="L65" s="141"/>
      <c r="M65" s="144"/>
      <c r="N65" s="144"/>
      <c r="O65" s="144"/>
      <c r="P65" s="144"/>
      <c r="Q65" s="144"/>
      <c r="R65" s="144"/>
      <c r="S65" s="147"/>
      <c r="T65" s="147"/>
      <c r="U65" s="147"/>
      <c r="V65" s="147"/>
      <c r="W65" s="115"/>
      <c r="X65" s="115"/>
      <c r="Y65" s="115"/>
      <c r="Z65" s="144"/>
      <c r="AA65" s="114"/>
      <c r="AB65" s="144"/>
      <c r="AC65" s="114"/>
      <c r="AD65" s="144"/>
      <c r="AE65" s="144"/>
      <c r="AF65" s="114"/>
      <c r="AG65" s="60"/>
    </row>
    <row r="66" spans="1:33" s="88" customFormat="1" ht="15" x14ac:dyDescent="0.2">
      <c r="A66" s="59"/>
      <c r="B66" s="114"/>
      <c r="C66" s="114"/>
      <c r="D66" s="138"/>
      <c r="E66" s="138"/>
      <c r="F66" s="138"/>
      <c r="G66" s="138"/>
      <c r="H66" s="138"/>
      <c r="I66" s="138"/>
      <c r="J66" s="138" t="str">
        <f t="shared" si="0"/>
        <v/>
      </c>
      <c r="K66" s="141"/>
      <c r="L66" s="141"/>
      <c r="M66" s="144"/>
      <c r="N66" s="144"/>
      <c r="O66" s="144"/>
      <c r="P66" s="144"/>
      <c r="Q66" s="144"/>
      <c r="R66" s="144"/>
      <c r="S66" s="147"/>
      <c r="T66" s="147"/>
      <c r="U66" s="147"/>
      <c r="V66" s="147"/>
      <c r="W66" s="115"/>
      <c r="X66" s="115"/>
      <c r="Y66" s="115"/>
      <c r="Z66" s="144"/>
      <c r="AA66" s="114"/>
      <c r="AB66" s="144"/>
      <c r="AC66" s="114"/>
      <c r="AD66" s="144"/>
      <c r="AE66" s="144"/>
      <c r="AF66" s="114"/>
      <c r="AG66" s="60"/>
    </row>
    <row r="67" spans="1:33" s="88" customFormat="1" ht="15" x14ac:dyDescent="0.2">
      <c r="A67" s="59"/>
      <c r="B67" s="114"/>
      <c r="C67" s="114"/>
      <c r="D67" s="138"/>
      <c r="E67" s="138"/>
      <c r="F67" s="138"/>
      <c r="G67" s="138"/>
      <c r="H67" s="138"/>
      <c r="I67" s="138"/>
      <c r="J67" s="138" t="str">
        <f t="shared" si="0"/>
        <v/>
      </c>
      <c r="K67" s="141"/>
      <c r="L67" s="141"/>
      <c r="M67" s="144"/>
      <c r="N67" s="144"/>
      <c r="O67" s="144"/>
      <c r="P67" s="144"/>
      <c r="Q67" s="144"/>
      <c r="R67" s="144"/>
      <c r="S67" s="147"/>
      <c r="T67" s="147"/>
      <c r="U67" s="147"/>
      <c r="V67" s="147"/>
      <c r="W67" s="115"/>
      <c r="X67" s="115"/>
      <c r="Y67" s="115"/>
      <c r="Z67" s="144"/>
      <c r="AA67" s="114"/>
      <c r="AB67" s="144"/>
      <c r="AC67" s="114"/>
      <c r="AD67" s="144"/>
      <c r="AE67" s="144"/>
      <c r="AF67" s="114"/>
      <c r="AG67" s="60"/>
    </row>
    <row r="68" spans="1:33" s="88" customFormat="1" ht="15" x14ac:dyDescent="0.2">
      <c r="A68" s="59"/>
      <c r="B68" s="114"/>
      <c r="C68" s="114"/>
      <c r="D68" s="138"/>
      <c r="E68" s="138"/>
      <c r="F68" s="138"/>
      <c r="G68" s="138"/>
      <c r="H68" s="138"/>
      <c r="I68" s="138"/>
      <c r="J68" s="138" t="str">
        <f t="shared" si="0"/>
        <v/>
      </c>
      <c r="K68" s="141"/>
      <c r="L68" s="141"/>
      <c r="M68" s="144"/>
      <c r="N68" s="144"/>
      <c r="O68" s="144"/>
      <c r="P68" s="144"/>
      <c r="Q68" s="144"/>
      <c r="R68" s="144"/>
      <c r="S68" s="147"/>
      <c r="T68" s="147"/>
      <c r="U68" s="147"/>
      <c r="V68" s="147"/>
      <c r="W68" s="115"/>
      <c r="X68" s="115"/>
      <c r="Y68" s="115"/>
      <c r="Z68" s="144"/>
      <c r="AA68" s="114"/>
      <c r="AB68" s="144"/>
      <c r="AC68" s="114"/>
      <c r="AD68" s="144"/>
      <c r="AE68" s="144"/>
      <c r="AF68" s="114"/>
      <c r="AG68" s="60"/>
    </row>
    <row r="69" spans="1:33" s="88" customFormat="1" ht="15" x14ac:dyDescent="0.2">
      <c r="A69" s="59"/>
      <c r="B69" s="114"/>
      <c r="C69" s="114"/>
      <c r="D69" s="138"/>
      <c r="E69" s="138"/>
      <c r="F69" s="138"/>
      <c r="G69" s="138"/>
      <c r="H69" s="138"/>
      <c r="I69" s="138"/>
      <c r="J69" s="138" t="str">
        <f t="shared" si="0"/>
        <v/>
      </c>
      <c r="K69" s="141"/>
      <c r="L69" s="141"/>
      <c r="M69" s="144"/>
      <c r="N69" s="144"/>
      <c r="O69" s="144"/>
      <c r="P69" s="144"/>
      <c r="Q69" s="144"/>
      <c r="R69" s="144"/>
      <c r="S69" s="147"/>
      <c r="T69" s="147"/>
      <c r="U69" s="147"/>
      <c r="V69" s="147"/>
      <c r="W69" s="115"/>
      <c r="X69" s="115"/>
      <c r="Y69" s="115"/>
      <c r="Z69" s="144"/>
      <c r="AA69" s="114"/>
      <c r="AB69" s="144"/>
      <c r="AC69" s="114"/>
      <c r="AD69" s="144"/>
      <c r="AE69" s="144"/>
      <c r="AF69" s="114"/>
      <c r="AG69" s="60"/>
    </row>
    <row r="70" spans="1:33" s="88" customFormat="1" ht="15" x14ac:dyDescent="0.2">
      <c r="A70" s="59"/>
      <c r="B70" s="114"/>
      <c r="C70" s="114"/>
      <c r="D70" s="138"/>
      <c r="E70" s="138"/>
      <c r="F70" s="138"/>
      <c r="G70" s="138"/>
      <c r="H70" s="138"/>
      <c r="I70" s="138"/>
      <c r="J70" s="138" t="str">
        <f t="shared" si="0"/>
        <v/>
      </c>
      <c r="K70" s="141"/>
      <c r="L70" s="141"/>
      <c r="M70" s="144"/>
      <c r="N70" s="144"/>
      <c r="O70" s="144"/>
      <c r="P70" s="144"/>
      <c r="Q70" s="144"/>
      <c r="R70" s="144"/>
      <c r="S70" s="147"/>
      <c r="T70" s="147"/>
      <c r="U70" s="147"/>
      <c r="V70" s="147"/>
      <c r="W70" s="115"/>
      <c r="X70" s="115"/>
      <c r="Y70" s="115"/>
      <c r="Z70" s="144"/>
      <c r="AA70" s="114"/>
      <c r="AB70" s="144"/>
      <c r="AC70" s="114"/>
      <c r="AD70" s="144"/>
      <c r="AE70" s="144"/>
      <c r="AF70" s="114"/>
      <c r="AG70" s="60"/>
    </row>
    <row r="71" spans="1:33" s="88" customFormat="1" ht="15" x14ac:dyDescent="0.2">
      <c r="A71" s="59"/>
      <c r="B71" s="114"/>
      <c r="C71" s="114"/>
      <c r="D71" s="138"/>
      <c r="E71" s="138"/>
      <c r="F71" s="138"/>
      <c r="G71" s="138"/>
      <c r="H71" s="138"/>
      <c r="I71" s="138"/>
      <c r="J71" s="138" t="str">
        <f t="shared" si="0"/>
        <v/>
      </c>
      <c r="K71" s="141"/>
      <c r="L71" s="141"/>
      <c r="M71" s="144"/>
      <c r="N71" s="144"/>
      <c r="O71" s="144"/>
      <c r="P71" s="144"/>
      <c r="Q71" s="144"/>
      <c r="R71" s="144"/>
      <c r="S71" s="147"/>
      <c r="T71" s="147"/>
      <c r="U71" s="147"/>
      <c r="V71" s="147"/>
      <c r="W71" s="115"/>
      <c r="X71" s="115"/>
      <c r="Y71" s="115"/>
      <c r="Z71" s="144"/>
      <c r="AA71" s="114"/>
      <c r="AB71" s="144"/>
      <c r="AC71" s="114"/>
      <c r="AD71" s="144"/>
      <c r="AE71" s="144"/>
      <c r="AF71" s="114"/>
      <c r="AG71" s="60"/>
    </row>
    <row r="72" spans="1:33" s="88" customFormat="1" ht="15" x14ac:dyDescent="0.2">
      <c r="A72" s="59"/>
      <c r="B72" s="114"/>
      <c r="C72" s="114"/>
      <c r="D72" s="138"/>
      <c r="E72" s="138"/>
      <c r="F72" s="138"/>
      <c r="G72" s="138"/>
      <c r="H72" s="138"/>
      <c r="I72" s="138"/>
      <c r="J72" s="138" t="str">
        <f t="shared" si="0"/>
        <v/>
      </c>
      <c r="K72" s="141"/>
      <c r="L72" s="141"/>
      <c r="M72" s="144"/>
      <c r="N72" s="144"/>
      <c r="O72" s="144"/>
      <c r="P72" s="144"/>
      <c r="Q72" s="144"/>
      <c r="R72" s="144"/>
      <c r="S72" s="147"/>
      <c r="T72" s="147"/>
      <c r="U72" s="147"/>
      <c r="V72" s="147"/>
      <c r="W72" s="115"/>
      <c r="X72" s="115"/>
      <c r="Y72" s="115"/>
      <c r="Z72" s="144"/>
      <c r="AA72" s="114"/>
      <c r="AB72" s="144"/>
      <c r="AC72" s="114"/>
      <c r="AD72" s="144"/>
      <c r="AE72" s="144"/>
      <c r="AF72" s="114"/>
      <c r="AG72" s="60"/>
    </row>
    <row r="73" spans="1:33" s="88" customFormat="1" ht="15" x14ac:dyDescent="0.2">
      <c r="A73" s="59"/>
      <c r="B73" s="114"/>
      <c r="C73" s="114"/>
      <c r="D73" s="138"/>
      <c r="E73" s="138"/>
      <c r="F73" s="138"/>
      <c r="G73" s="138"/>
      <c r="H73" s="138"/>
      <c r="I73" s="138"/>
      <c r="J73" s="138" t="str">
        <f t="shared" si="0"/>
        <v/>
      </c>
      <c r="K73" s="141"/>
      <c r="L73" s="141"/>
      <c r="M73" s="144"/>
      <c r="N73" s="144"/>
      <c r="O73" s="144"/>
      <c r="P73" s="144"/>
      <c r="Q73" s="144"/>
      <c r="R73" s="144"/>
      <c r="S73" s="147"/>
      <c r="T73" s="147"/>
      <c r="U73" s="147"/>
      <c r="V73" s="147"/>
      <c r="W73" s="115"/>
      <c r="X73" s="115"/>
      <c r="Y73" s="115"/>
      <c r="Z73" s="144"/>
      <c r="AA73" s="114"/>
      <c r="AB73" s="144"/>
      <c r="AC73" s="114"/>
      <c r="AD73" s="144"/>
      <c r="AE73" s="144"/>
      <c r="AF73" s="114"/>
      <c r="AG73" s="60"/>
    </row>
    <row r="74" spans="1:33" s="88" customFormat="1" ht="15" x14ac:dyDescent="0.2">
      <c r="A74" s="59"/>
      <c r="B74" s="114"/>
      <c r="C74" s="114"/>
      <c r="D74" s="138"/>
      <c r="E74" s="138"/>
      <c r="F74" s="138"/>
      <c r="G74" s="138"/>
      <c r="H74" s="138"/>
      <c r="I74" s="138"/>
      <c r="J74" s="138" t="str">
        <f t="shared" si="0"/>
        <v/>
      </c>
      <c r="K74" s="141"/>
      <c r="L74" s="141"/>
      <c r="M74" s="144"/>
      <c r="N74" s="144"/>
      <c r="O74" s="144"/>
      <c r="P74" s="144"/>
      <c r="Q74" s="144"/>
      <c r="R74" s="144"/>
      <c r="S74" s="147"/>
      <c r="T74" s="147"/>
      <c r="U74" s="147"/>
      <c r="V74" s="147"/>
      <c r="W74" s="115"/>
      <c r="X74" s="115"/>
      <c r="Y74" s="115"/>
      <c r="Z74" s="144"/>
      <c r="AA74" s="114"/>
      <c r="AB74" s="144"/>
      <c r="AC74" s="114"/>
      <c r="AD74" s="144"/>
      <c r="AE74" s="144"/>
      <c r="AF74" s="114"/>
      <c r="AG74" s="60"/>
    </row>
    <row r="75" spans="1:33" s="88" customFormat="1" ht="15" x14ac:dyDescent="0.2">
      <c r="A75" s="59"/>
      <c r="B75" s="114"/>
      <c r="C75" s="114"/>
      <c r="D75" s="138"/>
      <c r="E75" s="138"/>
      <c r="F75" s="138"/>
      <c r="G75" s="138"/>
      <c r="H75" s="138"/>
      <c r="I75" s="138"/>
      <c r="J75" s="138" t="str">
        <f t="shared" si="0"/>
        <v/>
      </c>
      <c r="K75" s="141"/>
      <c r="L75" s="141"/>
      <c r="M75" s="144"/>
      <c r="N75" s="144"/>
      <c r="O75" s="144"/>
      <c r="P75" s="144"/>
      <c r="Q75" s="144"/>
      <c r="R75" s="144"/>
      <c r="S75" s="147"/>
      <c r="T75" s="147"/>
      <c r="U75" s="147"/>
      <c r="V75" s="147"/>
      <c r="W75" s="115"/>
      <c r="X75" s="115"/>
      <c r="Y75" s="115"/>
      <c r="Z75" s="144"/>
      <c r="AA75" s="114"/>
      <c r="AB75" s="144"/>
      <c r="AC75" s="114"/>
      <c r="AD75" s="144"/>
      <c r="AE75" s="144"/>
      <c r="AF75" s="114"/>
      <c r="AG75" s="60"/>
    </row>
    <row r="76" spans="1:33" s="88" customFormat="1" ht="15" x14ac:dyDescent="0.2">
      <c r="A76" s="59"/>
      <c r="B76" s="114"/>
      <c r="C76" s="114"/>
      <c r="D76" s="138"/>
      <c r="E76" s="138"/>
      <c r="F76" s="138"/>
      <c r="G76" s="138"/>
      <c r="H76" s="138"/>
      <c r="I76" s="138"/>
      <c r="J76" s="138" t="str">
        <f t="shared" si="0"/>
        <v/>
      </c>
      <c r="K76" s="141"/>
      <c r="L76" s="141"/>
      <c r="M76" s="144"/>
      <c r="N76" s="144"/>
      <c r="O76" s="144"/>
      <c r="P76" s="144"/>
      <c r="Q76" s="144"/>
      <c r="R76" s="144"/>
      <c r="S76" s="147"/>
      <c r="T76" s="147"/>
      <c r="U76" s="147"/>
      <c r="V76" s="147"/>
      <c r="W76" s="115"/>
      <c r="X76" s="115"/>
      <c r="Y76" s="115"/>
      <c r="Z76" s="144"/>
      <c r="AA76" s="114"/>
      <c r="AB76" s="144"/>
      <c r="AC76" s="114"/>
      <c r="AD76" s="144"/>
      <c r="AE76" s="144"/>
      <c r="AF76" s="114"/>
      <c r="AG76" s="60"/>
    </row>
    <row r="77" spans="1:33" s="88" customFormat="1" ht="15" x14ac:dyDescent="0.2">
      <c r="A77" s="59"/>
      <c r="B77" s="114"/>
      <c r="C77" s="114"/>
      <c r="D77" s="138"/>
      <c r="E77" s="138"/>
      <c r="F77" s="138"/>
      <c r="G77" s="138"/>
      <c r="H77" s="138"/>
      <c r="I77" s="138"/>
      <c r="J77" s="138" t="str">
        <f t="shared" si="0"/>
        <v/>
      </c>
      <c r="K77" s="141"/>
      <c r="L77" s="141"/>
      <c r="M77" s="144"/>
      <c r="N77" s="144"/>
      <c r="O77" s="144"/>
      <c r="P77" s="144"/>
      <c r="Q77" s="144"/>
      <c r="R77" s="144"/>
      <c r="S77" s="147"/>
      <c r="T77" s="147"/>
      <c r="U77" s="147"/>
      <c r="V77" s="147"/>
      <c r="W77" s="115"/>
      <c r="X77" s="115"/>
      <c r="Y77" s="115"/>
      <c r="Z77" s="144"/>
      <c r="AA77" s="114"/>
      <c r="AB77" s="144"/>
      <c r="AC77" s="114"/>
      <c r="AD77" s="144"/>
      <c r="AE77" s="144"/>
      <c r="AF77" s="114"/>
      <c r="AG77" s="60"/>
    </row>
    <row r="78" spans="1:33" s="88" customFormat="1" ht="15" x14ac:dyDescent="0.2">
      <c r="A78" s="59"/>
      <c r="B78" s="114"/>
      <c r="C78" s="114"/>
      <c r="D78" s="138"/>
      <c r="E78" s="138"/>
      <c r="F78" s="138"/>
      <c r="G78" s="138"/>
      <c r="H78" s="138"/>
      <c r="I78" s="138"/>
      <c r="J78" s="138" t="str">
        <f t="shared" si="0"/>
        <v/>
      </c>
      <c r="K78" s="141"/>
      <c r="L78" s="141"/>
      <c r="M78" s="144"/>
      <c r="N78" s="144"/>
      <c r="O78" s="144"/>
      <c r="P78" s="144"/>
      <c r="Q78" s="144"/>
      <c r="R78" s="144"/>
      <c r="S78" s="147"/>
      <c r="T78" s="147"/>
      <c r="U78" s="147"/>
      <c r="V78" s="147"/>
      <c r="W78" s="115"/>
      <c r="X78" s="115"/>
      <c r="Y78" s="115"/>
      <c r="Z78" s="144"/>
      <c r="AA78" s="114"/>
      <c r="AB78" s="144"/>
      <c r="AC78" s="114"/>
      <c r="AD78" s="144"/>
      <c r="AE78" s="144"/>
      <c r="AF78" s="114"/>
      <c r="AG78" s="60"/>
    </row>
    <row r="79" spans="1:33" s="88" customFormat="1" ht="15" x14ac:dyDescent="0.2">
      <c r="A79" s="59"/>
      <c r="B79" s="114"/>
      <c r="C79" s="114"/>
      <c r="D79" s="138"/>
      <c r="E79" s="138"/>
      <c r="F79" s="138"/>
      <c r="G79" s="138"/>
      <c r="H79" s="138"/>
      <c r="I79" s="138"/>
      <c r="J79" s="138" t="str">
        <f t="shared" si="0"/>
        <v/>
      </c>
      <c r="K79" s="141"/>
      <c r="L79" s="141"/>
      <c r="M79" s="144"/>
      <c r="N79" s="144"/>
      <c r="O79" s="144"/>
      <c r="P79" s="144"/>
      <c r="Q79" s="144"/>
      <c r="R79" s="144"/>
      <c r="S79" s="147"/>
      <c r="T79" s="147"/>
      <c r="U79" s="147"/>
      <c r="V79" s="147"/>
      <c r="W79" s="115"/>
      <c r="X79" s="115"/>
      <c r="Y79" s="115"/>
      <c r="Z79" s="144"/>
      <c r="AA79" s="114"/>
      <c r="AB79" s="144"/>
      <c r="AC79" s="114"/>
      <c r="AD79" s="144"/>
      <c r="AE79" s="144"/>
      <c r="AF79" s="114"/>
      <c r="AG79" s="60"/>
    </row>
    <row r="80" spans="1:33" s="88" customFormat="1" ht="15" x14ac:dyDescent="0.2">
      <c r="A80" s="59"/>
      <c r="B80" s="114"/>
      <c r="C80" s="114"/>
      <c r="D80" s="138"/>
      <c r="E80" s="138"/>
      <c r="F80" s="138"/>
      <c r="G80" s="138"/>
      <c r="H80" s="138"/>
      <c r="I80" s="138"/>
      <c r="J80" s="138" t="str">
        <f t="shared" si="0"/>
        <v/>
      </c>
      <c r="K80" s="141"/>
      <c r="L80" s="141"/>
      <c r="M80" s="144"/>
      <c r="N80" s="144"/>
      <c r="O80" s="144"/>
      <c r="P80" s="144"/>
      <c r="Q80" s="144"/>
      <c r="R80" s="144"/>
      <c r="S80" s="147"/>
      <c r="T80" s="147"/>
      <c r="U80" s="147"/>
      <c r="V80" s="147"/>
      <c r="W80" s="115"/>
      <c r="X80" s="115"/>
      <c r="Y80" s="115"/>
      <c r="Z80" s="144"/>
      <c r="AA80" s="114"/>
      <c r="AB80" s="144"/>
      <c r="AC80" s="114"/>
      <c r="AD80" s="144"/>
      <c r="AE80" s="144"/>
      <c r="AF80" s="114"/>
      <c r="AG80" s="60"/>
    </row>
    <row r="81" spans="1:33" s="88" customFormat="1" ht="15" x14ac:dyDescent="0.2">
      <c r="A81" s="59"/>
      <c r="B81" s="114"/>
      <c r="C81" s="114"/>
      <c r="D81" s="138"/>
      <c r="E81" s="138"/>
      <c r="F81" s="138"/>
      <c r="G81" s="138"/>
      <c r="H81" s="138"/>
      <c r="I81" s="138"/>
      <c r="J81" s="138" t="str">
        <f t="shared" si="0"/>
        <v/>
      </c>
      <c r="K81" s="141"/>
      <c r="L81" s="141"/>
      <c r="M81" s="144"/>
      <c r="N81" s="144"/>
      <c r="O81" s="144"/>
      <c r="P81" s="144"/>
      <c r="Q81" s="144"/>
      <c r="R81" s="144"/>
      <c r="S81" s="147"/>
      <c r="T81" s="147"/>
      <c r="U81" s="147"/>
      <c r="V81" s="147"/>
      <c r="W81" s="115"/>
      <c r="X81" s="115"/>
      <c r="Y81" s="115"/>
      <c r="Z81" s="144"/>
      <c r="AA81" s="114"/>
      <c r="AB81" s="144"/>
      <c r="AC81" s="114"/>
      <c r="AD81" s="144"/>
      <c r="AE81" s="144"/>
      <c r="AF81" s="114"/>
      <c r="AG81" s="60"/>
    </row>
    <row r="82" spans="1:33" s="88" customFormat="1" ht="15" x14ac:dyDescent="0.2">
      <c r="A82" s="59"/>
      <c r="B82" s="114"/>
      <c r="C82" s="114"/>
      <c r="D82" s="138"/>
      <c r="E82" s="138"/>
      <c r="F82" s="138"/>
      <c r="G82" s="138"/>
      <c r="H82" s="138"/>
      <c r="I82" s="138"/>
      <c r="J82" s="138" t="str">
        <f t="shared" si="0"/>
        <v/>
      </c>
      <c r="K82" s="141"/>
      <c r="L82" s="141"/>
      <c r="M82" s="144"/>
      <c r="N82" s="144"/>
      <c r="O82" s="144"/>
      <c r="P82" s="144"/>
      <c r="Q82" s="144"/>
      <c r="R82" s="144"/>
      <c r="S82" s="147"/>
      <c r="T82" s="147"/>
      <c r="U82" s="147"/>
      <c r="V82" s="147"/>
      <c r="W82" s="115"/>
      <c r="X82" s="115"/>
      <c r="Y82" s="115"/>
      <c r="Z82" s="144"/>
      <c r="AA82" s="114"/>
      <c r="AB82" s="144"/>
      <c r="AC82" s="114"/>
      <c r="AD82" s="144"/>
      <c r="AE82" s="144"/>
      <c r="AF82" s="114"/>
      <c r="AG82" s="60"/>
    </row>
    <row r="83" spans="1:33" s="88" customFormat="1" ht="15" x14ac:dyDescent="0.2">
      <c r="A83" s="59"/>
      <c r="B83" s="114"/>
      <c r="C83" s="114"/>
      <c r="D83" s="138"/>
      <c r="E83" s="138"/>
      <c r="F83" s="138"/>
      <c r="G83" s="138"/>
      <c r="H83" s="138"/>
      <c r="I83" s="138"/>
      <c r="J83" s="138" t="str">
        <f t="shared" si="0"/>
        <v/>
      </c>
      <c r="K83" s="141"/>
      <c r="L83" s="141"/>
      <c r="M83" s="144"/>
      <c r="N83" s="144"/>
      <c r="O83" s="144"/>
      <c r="P83" s="144"/>
      <c r="Q83" s="144"/>
      <c r="R83" s="144"/>
      <c r="S83" s="147"/>
      <c r="T83" s="147"/>
      <c r="U83" s="147"/>
      <c r="V83" s="147"/>
      <c r="W83" s="115"/>
      <c r="X83" s="115"/>
      <c r="Y83" s="115"/>
      <c r="Z83" s="144"/>
      <c r="AA83" s="114"/>
      <c r="AB83" s="144"/>
      <c r="AC83" s="114"/>
      <c r="AD83" s="144"/>
      <c r="AE83" s="144"/>
      <c r="AF83" s="114"/>
      <c r="AG83" s="60"/>
    </row>
    <row r="84" spans="1:33" ht="15" x14ac:dyDescent="0.2">
      <c r="A84" s="59"/>
      <c r="B84" s="114"/>
      <c r="C84" s="114"/>
      <c r="D84" s="138"/>
      <c r="E84" s="138"/>
      <c r="F84" s="138"/>
      <c r="G84" s="138"/>
      <c r="H84" s="138"/>
      <c r="I84" s="138"/>
      <c r="J84" s="138" t="str">
        <f t="shared" si="0"/>
        <v/>
      </c>
      <c r="K84" s="141"/>
      <c r="L84" s="141"/>
      <c r="M84" s="144"/>
      <c r="N84" s="144"/>
      <c r="O84" s="144"/>
      <c r="P84" s="144"/>
      <c r="Q84" s="144"/>
      <c r="R84" s="144"/>
      <c r="S84" s="147"/>
      <c r="T84" s="147"/>
      <c r="U84" s="147"/>
      <c r="V84" s="147"/>
      <c r="W84" s="115"/>
      <c r="X84" s="115"/>
      <c r="Y84" s="115"/>
      <c r="Z84" s="144"/>
      <c r="AA84" s="114"/>
      <c r="AB84" s="149"/>
      <c r="AC84" s="116"/>
      <c r="AD84" s="149"/>
      <c r="AE84" s="149"/>
      <c r="AF84" s="114"/>
      <c r="AG84" s="60"/>
    </row>
    <row r="85" spans="1:33" ht="15.75" thickBot="1" x14ac:dyDescent="0.25">
      <c r="A85" s="59"/>
      <c r="B85" s="117"/>
      <c r="C85" s="117"/>
      <c r="D85" s="139"/>
      <c r="E85" s="139"/>
      <c r="F85" s="139"/>
      <c r="G85" s="139"/>
      <c r="H85" s="139"/>
      <c r="I85" s="139"/>
      <c r="J85" s="138" t="str">
        <f t="shared" ref="J85" si="1">IF(OR(H85="",G85=""),"",H85-G85)</f>
        <v/>
      </c>
      <c r="K85" s="142"/>
      <c r="L85" s="142"/>
      <c r="M85" s="145"/>
      <c r="N85" s="145"/>
      <c r="O85" s="145"/>
      <c r="P85" s="145"/>
      <c r="Q85" s="145"/>
      <c r="R85" s="145"/>
      <c r="S85" s="148"/>
      <c r="T85" s="148"/>
      <c r="U85" s="148"/>
      <c r="V85" s="148"/>
      <c r="W85" s="118"/>
      <c r="X85" s="118"/>
      <c r="Y85" s="118"/>
      <c r="Z85" s="145"/>
      <c r="AA85" s="117"/>
      <c r="AB85" s="145"/>
      <c r="AC85" s="117"/>
      <c r="AD85" s="145"/>
      <c r="AE85" s="145"/>
      <c r="AF85" s="117"/>
      <c r="AG85" s="60"/>
    </row>
    <row r="86" spans="1:33" ht="15.75" thickBot="1" x14ac:dyDescent="0.25">
      <c r="A86" s="95"/>
      <c r="B86" s="107"/>
      <c r="C86" s="107"/>
      <c r="D86" s="107"/>
      <c r="E86" s="107"/>
      <c r="F86" s="108"/>
      <c r="G86" s="109"/>
      <c r="H86" s="109"/>
      <c r="I86" s="109"/>
      <c r="J86" s="109"/>
      <c r="K86" s="110"/>
      <c r="L86" s="110"/>
      <c r="M86" s="110"/>
      <c r="N86" s="111"/>
      <c r="O86" s="111"/>
      <c r="P86" s="111"/>
      <c r="Q86" s="111"/>
      <c r="R86" s="111"/>
      <c r="S86" s="111"/>
      <c r="T86" s="111"/>
      <c r="U86" s="111"/>
      <c r="V86" s="111"/>
      <c r="W86" s="111"/>
      <c r="X86" s="111"/>
      <c r="Y86" s="111"/>
      <c r="Z86" s="111"/>
      <c r="AA86" s="107"/>
      <c r="AB86" s="107"/>
      <c r="AC86" s="107"/>
      <c r="AD86" s="130"/>
      <c r="AE86" s="130"/>
      <c r="AF86" s="130"/>
      <c r="AG86" s="96"/>
    </row>
    <row r="87" spans="1:33" ht="15.75" thickTop="1" x14ac:dyDescent="0.2">
      <c r="A87" s="59"/>
      <c r="B87" s="53"/>
      <c r="C87" s="53"/>
      <c r="D87" s="53"/>
      <c r="E87" s="53"/>
      <c r="F87" s="84"/>
      <c r="G87" s="85"/>
      <c r="H87" s="85"/>
      <c r="I87" s="85"/>
      <c r="J87" s="85"/>
      <c r="K87" s="86"/>
      <c r="L87" s="86"/>
      <c r="M87" s="86"/>
      <c r="N87" s="87"/>
      <c r="O87" s="87"/>
      <c r="P87" s="87"/>
      <c r="Q87" s="87"/>
      <c r="R87" s="87"/>
      <c r="S87" s="87"/>
      <c r="T87" s="87"/>
      <c r="U87" s="87"/>
      <c r="V87" s="87"/>
      <c r="W87" s="87"/>
      <c r="X87" s="53"/>
      <c r="Y87" s="53"/>
      <c r="Z87" s="53"/>
      <c r="AA87" s="53"/>
      <c r="AB87" s="53"/>
      <c r="AC87" s="53"/>
      <c r="AD87" s="53"/>
      <c r="AE87" s="53"/>
      <c r="AF87" s="53"/>
    </row>
    <row r="88" spans="1:33" ht="15" x14ac:dyDescent="0.2">
      <c r="A88" s="59"/>
      <c r="B88" s="53"/>
      <c r="C88" s="53"/>
      <c r="D88" s="53"/>
      <c r="E88" s="53"/>
      <c r="F88" s="84"/>
      <c r="G88" s="85"/>
      <c r="H88" s="85"/>
      <c r="I88" s="85"/>
      <c r="J88" s="85"/>
      <c r="K88" s="86"/>
      <c r="L88" s="86"/>
      <c r="M88" s="86"/>
      <c r="N88" s="87"/>
      <c r="O88" s="87"/>
      <c r="P88" s="87"/>
      <c r="Q88" s="87"/>
      <c r="R88" s="87"/>
      <c r="S88" s="87"/>
      <c r="T88" s="87"/>
      <c r="U88" s="87"/>
      <c r="V88" s="87"/>
      <c r="W88" s="87"/>
      <c r="X88" s="53"/>
      <c r="Y88" s="53"/>
      <c r="Z88" s="53"/>
      <c r="AA88" s="53"/>
      <c r="AB88" s="53"/>
      <c r="AC88" s="53"/>
      <c r="AD88" s="53"/>
      <c r="AE88" s="53"/>
      <c r="AF88" s="53"/>
    </row>
    <row r="89" spans="1:33" ht="15" x14ac:dyDescent="0.2">
      <c r="A89" s="59"/>
      <c r="B89" s="53"/>
      <c r="C89" s="53"/>
      <c r="D89" s="53"/>
      <c r="E89" s="53"/>
      <c r="F89" s="84"/>
      <c r="G89" s="85"/>
      <c r="H89" s="85"/>
      <c r="I89" s="85"/>
      <c r="J89" s="85"/>
      <c r="K89" s="86"/>
      <c r="L89" s="86"/>
      <c r="M89" s="86"/>
      <c r="N89" s="87"/>
      <c r="O89" s="87"/>
      <c r="P89" s="87"/>
      <c r="Q89" s="87"/>
      <c r="R89" s="87"/>
      <c r="S89" s="87"/>
      <c r="T89" s="87"/>
      <c r="U89" s="87"/>
      <c r="V89" s="87"/>
      <c r="W89" s="87"/>
      <c r="X89" s="53"/>
      <c r="Y89" s="53"/>
      <c r="Z89" s="53"/>
      <c r="AA89" s="53"/>
      <c r="AB89" s="53"/>
      <c r="AC89" s="53"/>
      <c r="AD89" s="53"/>
      <c r="AE89" s="53"/>
      <c r="AF89" s="53"/>
    </row>
    <row r="90" spans="1:33" ht="15" x14ac:dyDescent="0.2">
      <c r="A90" s="59"/>
      <c r="B90" s="53"/>
      <c r="C90" s="53"/>
      <c r="D90" s="53"/>
      <c r="E90" s="53"/>
      <c r="F90" s="84"/>
      <c r="G90" s="85"/>
      <c r="H90" s="85"/>
      <c r="I90" s="85"/>
      <c r="J90" s="85"/>
      <c r="K90" s="86"/>
      <c r="L90" s="86"/>
      <c r="M90" s="86"/>
      <c r="N90" s="87"/>
      <c r="O90" s="87"/>
      <c r="P90" s="87"/>
      <c r="Q90" s="87"/>
      <c r="R90" s="87"/>
      <c r="S90" s="87"/>
      <c r="T90" s="87"/>
      <c r="U90" s="87"/>
      <c r="V90" s="87"/>
      <c r="W90" s="87"/>
      <c r="X90" s="53"/>
      <c r="Y90" s="53"/>
      <c r="Z90" s="53"/>
      <c r="AA90" s="53"/>
      <c r="AB90" s="53"/>
      <c r="AC90" s="53"/>
      <c r="AD90" s="53"/>
      <c r="AE90" s="53"/>
      <c r="AF90" s="53"/>
    </row>
    <row r="91" spans="1:33" ht="15" x14ac:dyDescent="0.2">
      <c r="A91" s="59"/>
      <c r="B91" s="53"/>
      <c r="C91" s="53"/>
      <c r="D91" s="53"/>
      <c r="E91" s="53"/>
      <c r="F91" s="84"/>
      <c r="G91" s="85"/>
      <c r="H91" s="85"/>
      <c r="I91" s="85"/>
      <c r="J91" s="85"/>
      <c r="K91" s="86"/>
      <c r="L91" s="86"/>
      <c r="M91" s="86"/>
      <c r="N91" s="87"/>
      <c r="O91" s="87"/>
      <c r="P91" s="87"/>
      <c r="Q91" s="87"/>
      <c r="R91" s="87"/>
      <c r="S91" s="87"/>
      <c r="T91" s="87"/>
      <c r="U91" s="87"/>
      <c r="V91" s="87"/>
      <c r="W91" s="87"/>
      <c r="X91" s="53"/>
      <c r="Y91" s="53"/>
      <c r="Z91" s="53"/>
      <c r="AA91" s="53"/>
      <c r="AB91" s="53"/>
      <c r="AC91" s="53"/>
      <c r="AD91" s="53"/>
      <c r="AE91" s="53"/>
      <c r="AF91" s="53"/>
    </row>
    <row r="92" spans="1:33" ht="15" x14ac:dyDescent="0.2">
      <c r="A92" s="59"/>
      <c r="B92" s="53"/>
      <c r="C92" s="53"/>
      <c r="D92" s="53"/>
      <c r="E92" s="53"/>
      <c r="F92" s="84"/>
      <c r="G92" s="85"/>
      <c r="H92" s="85"/>
      <c r="I92" s="85"/>
      <c r="J92" s="85"/>
      <c r="K92" s="86"/>
      <c r="L92" s="86"/>
      <c r="M92" s="86"/>
      <c r="N92" s="87"/>
      <c r="O92" s="87"/>
      <c r="P92" s="87"/>
      <c r="Q92" s="87"/>
      <c r="R92" s="87"/>
      <c r="S92" s="87"/>
      <c r="T92" s="87"/>
      <c r="U92" s="87"/>
      <c r="V92" s="87"/>
      <c r="W92" s="87"/>
      <c r="X92" s="53"/>
      <c r="Y92" s="53"/>
      <c r="Z92" s="53"/>
      <c r="AA92" s="53"/>
      <c r="AB92" s="53"/>
      <c r="AC92" s="53"/>
      <c r="AD92" s="53"/>
      <c r="AE92" s="53"/>
      <c r="AF92" s="53"/>
    </row>
    <row r="93" spans="1:33" ht="15" x14ac:dyDescent="0.2">
      <c r="A93" s="59"/>
      <c r="B93" s="53"/>
      <c r="C93" s="53"/>
      <c r="D93" s="53"/>
      <c r="E93" s="53"/>
      <c r="F93" s="84"/>
      <c r="G93" s="85"/>
      <c r="H93" s="85"/>
      <c r="I93" s="85"/>
      <c r="J93" s="85"/>
      <c r="K93" s="86"/>
      <c r="L93" s="86"/>
      <c r="M93" s="86"/>
      <c r="N93" s="87"/>
      <c r="O93" s="87"/>
      <c r="P93" s="87"/>
      <c r="Q93" s="87"/>
      <c r="R93" s="87"/>
      <c r="S93" s="87"/>
      <c r="T93" s="87"/>
      <c r="U93" s="87"/>
      <c r="V93" s="87"/>
      <c r="W93" s="87"/>
      <c r="X93" s="53"/>
      <c r="Y93" s="53"/>
      <c r="Z93" s="53"/>
      <c r="AA93" s="53"/>
      <c r="AB93" s="53"/>
      <c r="AC93" s="53"/>
      <c r="AD93" s="53"/>
      <c r="AE93" s="53"/>
      <c r="AF93" s="53"/>
    </row>
    <row r="94" spans="1:33" ht="15" x14ac:dyDescent="0.2">
      <c r="A94" s="59"/>
      <c r="B94" s="53"/>
      <c r="C94" s="53"/>
      <c r="D94" s="53"/>
      <c r="E94" s="53"/>
      <c r="F94" s="84"/>
      <c r="G94" s="85"/>
      <c r="H94" s="85"/>
      <c r="I94" s="85"/>
      <c r="J94" s="85"/>
      <c r="K94" s="86"/>
      <c r="L94" s="86"/>
      <c r="M94" s="86"/>
      <c r="N94" s="87"/>
      <c r="O94" s="87"/>
      <c r="P94" s="87"/>
      <c r="Q94" s="87"/>
      <c r="R94" s="87"/>
      <c r="S94" s="87"/>
      <c r="T94" s="87"/>
      <c r="U94" s="87"/>
      <c r="V94" s="87"/>
      <c r="W94" s="87"/>
      <c r="X94" s="53"/>
      <c r="Y94" s="53"/>
      <c r="Z94" s="53"/>
      <c r="AA94" s="53"/>
      <c r="AB94" s="53"/>
      <c r="AC94" s="53"/>
      <c r="AD94" s="53"/>
      <c r="AE94" s="53"/>
      <c r="AF94" s="53"/>
    </row>
    <row r="95" spans="1:33" ht="15" x14ac:dyDescent="0.2">
      <c r="A95" s="59"/>
      <c r="B95" s="53"/>
      <c r="C95" s="53"/>
      <c r="D95" s="53"/>
      <c r="E95" s="53"/>
      <c r="F95" s="84"/>
      <c r="G95" s="85"/>
      <c r="H95" s="85"/>
      <c r="I95" s="85"/>
      <c r="J95" s="85"/>
      <c r="K95" s="86"/>
      <c r="L95" s="86"/>
      <c r="M95" s="86"/>
      <c r="N95" s="87"/>
      <c r="O95" s="87"/>
      <c r="P95" s="87"/>
      <c r="Q95" s="87"/>
      <c r="R95" s="87"/>
      <c r="S95" s="87"/>
      <c r="T95" s="87"/>
      <c r="U95" s="87"/>
      <c r="V95" s="87"/>
      <c r="W95" s="87"/>
      <c r="X95" s="53"/>
      <c r="Y95" s="53"/>
      <c r="Z95" s="53"/>
      <c r="AA95" s="53"/>
      <c r="AB95" s="53"/>
      <c r="AC95" s="53"/>
      <c r="AD95" s="53"/>
      <c r="AE95" s="53"/>
      <c r="AF95" s="53"/>
    </row>
    <row r="96" spans="1:33" ht="15" x14ac:dyDescent="0.2">
      <c r="A96" s="59"/>
      <c r="B96" s="53"/>
      <c r="C96" s="53"/>
      <c r="D96" s="53"/>
      <c r="E96" s="53"/>
      <c r="F96" s="84"/>
      <c r="G96" s="85"/>
      <c r="H96" s="85"/>
      <c r="I96" s="85"/>
      <c r="J96" s="85"/>
      <c r="K96" s="86"/>
      <c r="L96" s="86"/>
      <c r="M96" s="86"/>
      <c r="N96" s="87"/>
      <c r="O96" s="87"/>
      <c r="P96" s="87"/>
      <c r="Q96" s="87"/>
      <c r="R96" s="87"/>
      <c r="S96" s="87"/>
      <c r="T96" s="87"/>
      <c r="U96" s="87"/>
      <c r="V96" s="87"/>
      <c r="W96" s="87"/>
      <c r="X96" s="53"/>
      <c r="Y96" s="53"/>
      <c r="Z96" s="53"/>
      <c r="AA96" s="53"/>
      <c r="AB96" s="53"/>
      <c r="AC96" s="53"/>
      <c r="AD96" s="53"/>
      <c r="AE96" s="53"/>
      <c r="AF96" s="53"/>
    </row>
    <row r="97" spans="1:32" ht="15" x14ac:dyDescent="0.2">
      <c r="A97" s="59"/>
      <c r="B97" s="53"/>
      <c r="C97" s="53"/>
      <c r="D97" s="53"/>
      <c r="E97" s="53"/>
      <c r="F97" s="84"/>
      <c r="G97" s="85"/>
      <c r="H97" s="85"/>
      <c r="I97" s="85"/>
      <c r="J97" s="85"/>
      <c r="K97" s="86"/>
      <c r="L97" s="86"/>
      <c r="M97" s="86"/>
      <c r="N97" s="87"/>
      <c r="O97" s="87"/>
      <c r="P97" s="87"/>
      <c r="Q97" s="87"/>
      <c r="R97" s="87"/>
      <c r="S97" s="87"/>
      <c r="T97" s="87"/>
      <c r="U97" s="87"/>
      <c r="V97" s="87"/>
      <c r="W97" s="87"/>
      <c r="X97" s="53"/>
      <c r="Y97" s="53"/>
      <c r="Z97" s="53"/>
      <c r="AA97" s="53"/>
      <c r="AB97" s="53"/>
      <c r="AC97" s="53"/>
      <c r="AD97" s="53"/>
      <c r="AE97" s="53"/>
      <c r="AF97" s="53"/>
    </row>
    <row r="98" spans="1:32" ht="15" x14ac:dyDescent="0.2">
      <c r="A98" s="59"/>
      <c r="B98" s="53"/>
      <c r="C98" s="53"/>
      <c r="D98" s="53"/>
      <c r="E98" s="53"/>
      <c r="F98" s="84"/>
      <c r="G98" s="85"/>
      <c r="H98" s="85"/>
      <c r="I98" s="85"/>
      <c r="J98" s="85"/>
      <c r="K98" s="86"/>
      <c r="L98" s="86"/>
      <c r="M98" s="86"/>
      <c r="N98" s="87"/>
      <c r="O98" s="87"/>
      <c r="P98" s="87"/>
      <c r="Q98" s="87"/>
      <c r="R98" s="87"/>
      <c r="S98" s="87"/>
      <c r="T98" s="87"/>
      <c r="U98" s="87"/>
      <c r="V98" s="87"/>
      <c r="W98" s="87"/>
      <c r="X98" s="53"/>
      <c r="Y98" s="53"/>
      <c r="Z98" s="53"/>
      <c r="AA98" s="53"/>
      <c r="AB98" s="53"/>
      <c r="AC98" s="53"/>
      <c r="AD98" s="53"/>
      <c r="AE98" s="53"/>
      <c r="AF98" s="53"/>
    </row>
    <row r="99" spans="1:32" ht="15" x14ac:dyDescent="0.2">
      <c r="A99" s="59"/>
      <c r="B99" s="53"/>
      <c r="C99" s="53"/>
      <c r="D99" s="53"/>
      <c r="E99" s="53"/>
      <c r="F99" s="84"/>
      <c r="G99" s="85"/>
      <c r="H99" s="85"/>
      <c r="I99" s="85"/>
      <c r="J99" s="85"/>
      <c r="K99" s="86"/>
      <c r="L99" s="86"/>
      <c r="M99" s="86"/>
      <c r="N99" s="87"/>
      <c r="O99" s="87"/>
      <c r="P99" s="87"/>
      <c r="Q99" s="87"/>
      <c r="R99" s="87"/>
      <c r="S99" s="87"/>
      <c r="T99" s="87"/>
      <c r="U99" s="87"/>
      <c r="V99" s="87"/>
      <c r="W99" s="87"/>
      <c r="X99" s="53"/>
      <c r="Y99" s="53"/>
      <c r="Z99" s="53"/>
      <c r="AA99" s="53"/>
      <c r="AB99" s="53"/>
      <c r="AC99" s="53"/>
      <c r="AD99" s="53"/>
      <c r="AE99" s="53"/>
      <c r="AF99" s="53"/>
    </row>
    <row r="100" spans="1:32" ht="15" x14ac:dyDescent="0.2">
      <c r="A100" s="59"/>
      <c r="B100" s="53"/>
      <c r="C100" s="53"/>
      <c r="D100" s="53"/>
      <c r="E100" s="53"/>
      <c r="F100" s="84"/>
      <c r="G100" s="85"/>
      <c r="H100" s="85"/>
      <c r="I100" s="85"/>
      <c r="J100" s="85"/>
      <c r="K100" s="86"/>
      <c r="L100" s="86"/>
      <c r="M100" s="86"/>
      <c r="N100" s="87"/>
      <c r="O100" s="87"/>
      <c r="P100" s="87"/>
      <c r="Q100" s="87"/>
      <c r="R100" s="87"/>
      <c r="S100" s="87"/>
      <c r="T100" s="87"/>
      <c r="U100" s="87"/>
      <c r="V100" s="87"/>
      <c r="W100" s="87"/>
      <c r="X100" s="53"/>
      <c r="Y100" s="53"/>
      <c r="Z100" s="53"/>
      <c r="AA100" s="53"/>
      <c r="AB100" s="53"/>
      <c r="AC100" s="53"/>
      <c r="AD100" s="53"/>
      <c r="AE100" s="53"/>
      <c r="AF100" s="53"/>
    </row>
    <row r="101" spans="1:32" ht="15" x14ac:dyDescent="0.2">
      <c r="A101" s="59"/>
      <c r="B101" s="53"/>
      <c r="C101" s="53"/>
      <c r="D101" s="53"/>
      <c r="E101" s="53"/>
      <c r="F101" s="84"/>
      <c r="G101" s="85"/>
      <c r="H101" s="85"/>
      <c r="I101" s="85"/>
      <c r="J101" s="85"/>
      <c r="K101" s="86"/>
      <c r="L101" s="86"/>
      <c r="M101" s="86"/>
      <c r="N101" s="87"/>
      <c r="O101" s="87"/>
      <c r="P101" s="87"/>
      <c r="Q101" s="87"/>
      <c r="R101" s="87"/>
      <c r="S101" s="87"/>
      <c r="T101" s="87"/>
      <c r="U101" s="87"/>
      <c r="V101" s="87"/>
      <c r="W101" s="87"/>
      <c r="X101" s="53"/>
      <c r="Y101" s="53"/>
      <c r="Z101" s="53"/>
      <c r="AA101" s="53"/>
      <c r="AB101" s="53"/>
      <c r="AC101" s="53"/>
      <c r="AD101" s="53"/>
      <c r="AE101" s="53"/>
      <c r="AF101" s="53"/>
    </row>
    <row r="102" spans="1:32" ht="15" x14ac:dyDescent="0.2">
      <c r="A102" s="59"/>
      <c r="B102" s="53"/>
      <c r="C102" s="53"/>
      <c r="D102" s="53"/>
      <c r="E102" s="53"/>
      <c r="F102" s="84"/>
      <c r="G102" s="85"/>
      <c r="H102" s="85"/>
      <c r="I102" s="85"/>
      <c r="J102" s="85"/>
      <c r="K102" s="86"/>
      <c r="L102" s="86"/>
      <c r="M102" s="86"/>
      <c r="N102" s="87"/>
      <c r="O102" s="87"/>
      <c r="P102" s="87"/>
      <c r="Q102" s="87"/>
      <c r="R102" s="87"/>
      <c r="S102" s="87"/>
      <c r="T102" s="87"/>
      <c r="U102" s="87"/>
      <c r="V102" s="87"/>
      <c r="W102" s="87"/>
      <c r="X102" s="53"/>
      <c r="Y102" s="53"/>
      <c r="Z102" s="53"/>
      <c r="AA102" s="53"/>
      <c r="AB102" s="53"/>
      <c r="AC102" s="53"/>
      <c r="AD102" s="53"/>
      <c r="AE102" s="53"/>
      <c r="AF102" s="53"/>
    </row>
    <row r="103" spans="1:32" ht="15" x14ac:dyDescent="0.2">
      <c r="A103" s="59"/>
      <c r="B103" s="53"/>
      <c r="C103" s="53"/>
      <c r="D103" s="53"/>
      <c r="E103" s="53"/>
      <c r="F103" s="84"/>
      <c r="G103" s="85"/>
      <c r="H103" s="85"/>
      <c r="I103" s="85"/>
      <c r="J103" s="85"/>
      <c r="K103" s="86"/>
      <c r="L103" s="86"/>
      <c r="M103" s="86"/>
      <c r="N103" s="87"/>
      <c r="O103" s="87"/>
      <c r="P103" s="87"/>
      <c r="Q103" s="87"/>
      <c r="R103" s="87"/>
      <c r="S103" s="87"/>
      <c r="T103" s="87"/>
      <c r="U103" s="87"/>
      <c r="V103" s="87"/>
      <c r="W103" s="87"/>
      <c r="X103" s="53"/>
      <c r="Y103" s="53"/>
      <c r="Z103" s="53"/>
      <c r="AA103" s="53"/>
      <c r="AB103" s="53"/>
      <c r="AC103" s="53"/>
      <c r="AD103" s="53"/>
      <c r="AE103" s="53"/>
      <c r="AF103" s="53"/>
    </row>
    <row r="104" spans="1:32" ht="15" x14ac:dyDescent="0.2">
      <c r="A104" s="59"/>
      <c r="B104" s="53"/>
      <c r="C104" s="53"/>
      <c r="D104" s="53"/>
      <c r="E104" s="53"/>
      <c r="F104" s="84"/>
      <c r="G104" s="85"/>
      <c r="H104" s="85"/>
      <c r="I104" s="85"/>
      <c r="J104" s="85"/>
      <c r="K104" s="86"/>
      <c r="L104" s="86"/>
      <c r="M104" s="86"/>
      <c r="N104" s="87"/>
      <c r="O104" s="87"/>
      <c r="P104" s="87"/>
      <c r="Q104" s="87"/>
      <c r="R104" s="87"/>
      <c r="S104" s="87"/>
      <c r="T104" s="87"/>
      <c r="U104" s="87"/>
      <c r="V104" s="87"/>
      <c r="W104" s="87"/>
      <c r="X104" s="53"/>
      <c r="Y104" s="53"/>
      <c r="Z104" s="53"/>
      <c r="AA104" s="53"/>
      <c r="AB104" s="53"/>
      <c r="AC104" s="53"/>
      <c r="AD104" s="53"/>
      <c r="AE104" s="53"/>
      <c r="AF104" s="53"/>
    </row>
    <row r="105" spans="1:32" ht="15" x14ac:dyDescent="0.2">
      <c r="A105" s="59"/>
      <c r="B105" s="53"/>
      <c r="C105" s="53"/>
      <c r="D105" s="53"/>
      <c r="E105" s="53"/>
      <c r="F105" s="84"/>
      <c r="G105" s="85"/>
      <c r="H105" s="85"/>
      <c r="I105" s="85"/>
      <c r="J105" s="85"/>
      <c r="K105" s="86"/>
      <c r="L105" s="86"/>
      <c r="M105" s="86"/>
      <c r="N105" s="87"/>
      <c r="O105" s="87"/>
      <c r="P105" s="87"/>
      <c r="Q105" s="87"/>
      <c r="R105" s="87"/>
      <c r="S105" s="87"/>
      <c r="T105" s="87"/>
      <c r="U105" s="87"/>
      <c r="V105" s="87"/>
      <c r="W105" s="87"/>
      <c r="X105" s="53"/>
      <c r="Y105" s="53"/>
      <c r="Z105" s="53"/>
      <c r="AA105" s="53"/>
      <c r="AB105" s="53"/>
      <c r="AC105" s="53"/>
      <c r="AD105" s="53"/>
      <c r="AE105" s="53"/>
      <c r="AF105" s="53"/>
    </row>
    <row r="106" spans="1:32" ht="15" x14ac:dyDescent="0.2">
      <c r="A106" s="59"/>
      <c r="B106" s="53"/>
      <c r="C106" s="53"/>
      <c r="D106" s="53"/>
      <c r="E106" s="53"/>
      <c r="F106" s="84"/>
      <c r="G106" s="85"/>
      <c r="H106" s="85"/>
      <c r="I106" s="85"/>
      <c r="J106" s="85"/>
      <c r="K106" s="86"/>
      <c r="L106" s="86"/>
      <c r="M106" s="86"/>
      <c r="N106" s="87"/>
      <c r="O106" s="87"/>
      <c r="P106" s="87"/>
      <c r="Q106" s="87"/>
      <c r="R106" s="87"/>
      <c r="S106" s="87"/>
      <c r="T106" s="87"/>
      <c r="U106" s="87"/>
      <c r="V106" s="87"/>
      <c r="W106" s="87"/>
      <c r="X106" s="53"/>
      <c r="Y106" s="53"/>
      <c r="Z106" s="53"/>
      <c r="AA106" s="53"/>
      <c r="AB106" s="53"/>
      <c r="AC106" s="53"/>
      <c r="AD106" s="53"/>
      <c r="AE106" s="53"/>
      <c r="AF106" s="53"/>
    </row>
    <row r="107" spans="1:32" ht="15" x14ac:dyDescent="0.2">
      <c r="A107" s="59"/>
      <c r="B107" s="53"/>
      <c r="C107" s="53"/>
      <c r="D107" s="53"/>
      <c r="E107" s="53"/>
      <c r="F107" s="84"/>
      <c r="G107" s="85"/>
      <c r="H107" s="85"/>
      <c r="I107" s="85"/>
      <c r="J107" s="85"/>
      <c r="K107" s="86"/>
      <c r="L107" s="86"/>
      <c r="M107" s="86"/>
      <c r="N107" s="87"/>
      <c r="O107" s="87"/>
      <c r="P107" s="87"/>
      <c r="Q107" s="87"/>
      <c r="R107" s="87"/>
      <c r="S107" s="87"/>
      <c r="T107" s="87"/>
      <c r="U107" s="87"/>
      <c r="V107" s="87"/>
      <c r="W107" s="87"/>
      <c r="X107" s="53"/>
      <c r="Y107" s="53"/>
      <c r="Z107" s="53"/>
      <c r="AA107" s="53"/>
      <c r="AB107" s="53"/>
      <c r="AC107" s="53"/>
      <c r="AD107" s="53"/>
      <c r="AE107" s="53"/>
      <c r="AF107" s="53"/>
    </row>
    <row r="108" spans="1:32" ht="15" x14ac:dyDescent="0.2">
      <c r="A108" s="59"/>
      <c r="B108" s="53"/>
      <c r="C108" s="53"/>
      <c r="D108" s="53"/>
      <c r="E108" s="53"/>
      <c r="F108" s="84"/>
      <c r="G108" s="85"/>
      <c r="H108" s="85"/>
      <c r="I108" s="85"/>
      <c r="J108" s="85"/>
      <c r="K108" s="86"/>
      <c r="L108" s="86"/>
      <c r="M108" s="86"/>
      <c r="N108" s="87"/>
      <c r="O108" s="87"/>
      <c r="P108" s="87"/>
      <c r="Q108" s="87"/>
      <c r="R108" s="87"/>
      <c r="S108" s="87"/>
      <c r="T108" s="87"/>
      <c r="U108" s="87"/>
      <c r="V108" s="87"/>
      <c r="W108" s="87"/>
      <c r="X108" s="53"/>
      <c r="Y108" s="53"/>
      <c r="Z108" s="53"/>
      <c r="AA108" s="53"/>
      <c r="AB108" s="53"/>
      <c r="AC108" s="53"/>
      <c r="AD108" s="53"/>
      <c r="AE108" s="53"/>
      <c r="AF108" s="53"/>
    </row>
    <row r="109" spans="1:32" ht="15" x14ac:dyDescent="0.2">
      <c r="A109" s="59"/>
      <c r="B109" s="53"/>
      <c r="C109" s="53"/>
      <c r="D109" s="53"/>
      <c r="E109" s="53"/>
      <c r="F109" s="84"/>
      <c r="G109" s="85"/>
      <c r="H109" s="85"/>
      <c r="I109" s="85"/>
      <c r="J109" s="85"/>
      <c r="K109" s="86"/>
      <c r="L109" s="86"/>
      <c r="M109" s="86"/>
      <c r="N109" s="87"/>
      <c r="O109" s="87"/>
      <c r="P109" s="87"/>
      <c r="Q109" s="87"/>
      <c r="R109" s="87"/>
      <c r="S109" s="87"/>
      <c r="T109" s="87"/>
      <c r="U109" s="87"/>
      <c r="V109" s="87"/>
      <c r="W109" s="87"/>
      <c r="X109" s="53"/>
      <c r="Y109" s="53"/>
      <c r="Z109" s="53"/>
      <c r="AA109" s="53"/>
      <c r="AB109" s="53"/>
      <c r="AC109" s="53"/>
      <c r="AD109" s="53"/>
      <c r="AE109" s="53"/>
      <c r="AF109" s="53"/>
    </row>
    <row r="110" spans="1:32" ht="15" x14ac:dyDescent="0.2">
      <c r="A110" s="59"/>
      <c r="B110" s="53"/>
      <c r="C110" s="53"/>
      <c r="D110" s="53"/>
      <c r="E110" s="53"/>
      <c r="F110" s="84"/>
      <c r="G110" s="85"/>
      <c r="H110" s="85"/>
      <c r="I110" s="85"/>
      <c r="J110" s="85"/>
      <c r="K110" s="86"/>
      <c r="L110" s="86"/>
      <c r="M110" s="86"/>
      <c r="N110" s="87"/>
      <c r="O110" s="87"/>
      <c r="P110" s="87"/>
      <c r="Q110" s="87"/>
      <c r="R110" s="87"/>
      <c r="S110" s="87"/>
      <c r="T110" s="87"/>
      <c r="U110" s="87"/>
      <c r="V110" s="87"/>
      <c r="W110" s="87"/>
      <c r="X110" s="53"/>
      <c r="Y110" s="53"/>
      <c r="Z110" s="53"/>
      <c r="AA110" s="53"/>
      <c r="AB110" s="53"/>
      <c r="AC110" s="53"/>
      <c r="AD110" s="53"/>
      <c r="AE110" s="53"/>
      <c r="AF110" s="53"/>
    </row>
    <row r="111" spans="1:32" ht="15" x14ac:dyDescent="0.2">
      <c r="A111" s="59"/>
      <c r="B111" s="53"/>
      <c r="C111" s="53"/>
      <c r="D111" s="53"/>
      <c r="E111" s="53"/>
      <c r="F111" s="84"/>
      <c r="G111" s="85"/>
      <c r="H111" s="85"/>
      <c r="I111" s="85"/>
      <c r="J111" s="85"/>
      <c r="K111" s="86"/>
      <c r="L111" s="86"/>
      <c r="M111" s="86"/>
      <c r="N111" s="87"/>
      <c r="O111" s="87"/>
      <c r="P111" s="87"/>
      <c r="Q111" s="87"/>
      <c r="R111" s="87"/>
      <c r="S111" s="87"/>
      <c r="T111" s="87"/>
      <c r="U111" s="87"/>
      <c r="V111" s="87"/>
      <c r="W111" s="87"/>
      <c r="X111" s="53"/>
      <c r="Y111" s="53"/>
      <c r="Z111" s="53"/>
      <c r="AA111" s="53"/>
      <c r="AB111" s="53"/>
      <c r="AC111" s="53"/>
      <c r="AD111" s="53"/>
      <c r="AE111" s="53"/>
      <c r="AF111" s="53"/>
    </row>
    <row r="112" spans="1:32" ht="15" x14ac:dyDescent="0.2">
      <c r="A112" s="59"/>
      <c r="B112" s="53"/>
      <c r="C112" s="53"/>
      <c r="D112" s="53"/>
      <c r="E112" s="53"/>
      <c r="F112" s="84"/>
      <c r="G112" s="85"/>
      <c r="H112" s="85"/>
      <c r="I112" s="85"/>
      <c r="J112" s="85"/>
      <c r="K112" s="86"/>
      <c r="L112" s="86"/>
      <c r="M112" s="86"/>
      <c r="N112" s="87"/>
      <c r="O112" s="87"/>
      <c r="P112" s="87"/>
      <c r="Q112" s="87"/>
      <c r="R112" s="87"/>
      <c r="S112" s="87"/>
      <c r="T112" s="87"/>
      <c r="U112" s="87"/>
      <c r="V112" s="87"/>
      <c r="W112" s="87"/>
      <c r="X112" s="53"/>
      <c r="Y112" s="53"/>
      <c r="Z112" s="53"/>
      <c r="AA112" s="53"/>
      <c r="AB112" s="53"/>
      <c r="AC112" s="53"/>
      <c r="AD112" s="53"/>
      <c r="AE112" s="53"/>
      <c r="AF112" s="53"/>
    </row>
    <row r="113" spans="1:32" ht="15" x14ac:dyDescent="0.2">
      <c r="A113" s="59"/>
      <c r="B113" s="53"/>
      <c r="C113" s="53"/>
      <c r="D113" s="53"/>
      <c r="E113" s="53"/>
      <c r="F113" s="84"/>
      <c r="G113" s="85"/>
      <c r="H113" s="85"/>
      <c r="I113" s="85"/>
      <c r="J113" s="85"/>
      <c r="K113" s="86"/>
      <c r="L113" s="86"/>
      <c r="M113" s="86"/>
      <c r="N113" s="87"/>
      <c r="O113" s="87"/>
      <c r="P113" s="87"/>
      <c r="Q113" s="87"/>
      <c r="R113" s="87"/>
      <c r="S113" s="87"/>
      <c r="T113" s="87"/>
      <c r="U113" s="87"/>
      <c r="V113" s="87"/>
      <c r="W113" s="87"/>
      <c r="X113" s="53"/>
      <c r="Y113" s="53"/>
      <c r="Z113" s="53"/>
      <c r="AA113" s="53"/>
      <c r="AB113" s="53"/>
      <c r="AC113" s="53"/>
      <c r="AD113" s="53"/>
      <c r="AE113" s="53"/>
      <c r="AF113" s="53"/>
    </row>
    <row r="114" spans="1:32" ht="15" x14ac:dyDescent="0.2">
      <c r="A114" s="59"/>
      <c r="B114" s="53"/>
      <c r="C114" s="53"/>
      <c r="D114" s="53"/>
      <c r="E114" s="53"/>
      <c r="F114" s="84"/>
      <c r="G114" s="85"/>
      <c r="H114" s="85"/>
      <c r="I114" s="85"/>
      <c r="J114" s="85"/>
      <c r="K114" s="86"/>
      <c r="L114" s="86"/>
      <c r="M114" s="86"/>
      <c r="N114" s="87"/>
      <c r="O114" s="87"/>
      <c r="P114" s="87"/>
      <c r="Q114" s="87"/>
      <c r="R114" s="87"/>
      <c r="S114" s="87"/>
      <c r="T114" s="87"/>
      <c r="U114" s="87"/>
      <c r="V114" s="87"/>
      <c r="W114" s="87"/>
      <c r="X114" s="53"/>
      <c r="Y114" s="53"/>
      <c r="Z114" s="53"/>
      <c r="AA114" s="53"/>
      <c r="AB114" s="53"/>
      <c r="AC114" s="53"/>
      <c r="AD114" s="53"/>
      <c r="AE114" s="53"/>
      <c r="AF114" s="53"/>
    </row>
    <row r="115" spans="1:32" ht="15" x14ac:dyDescent="0.2">
      <c r="A115" s="59"/>
      <c r="B115" s="53"/>
      <c r="C115" s="53"/>
      <c r="D115" s="53"/>
      <c r="E115" s="53"/>
      <c r="F115" s="84"/>
      <c r="G115" s="85"/>
      <c r="H115" s="85"/>
      <c r="I115" s="85"/>
      <c r="J115" s="85"/>
      <c r="K115" s="86"/>
      <c r="L115" s="86"/>
      <c r="M115" s="86"/>
      <c r="N115" s="87"/>
      <c r="O115" s="87"/>
      <c r="P115" s="87"/>
      <c r="Q115" s="87"/>
      <c r="R115" s="87"/>
      <c r="S115" s="87"/>
      <c r="T115" s="87"/>
      <c r="U115" s="87"/>
      <c r="V115" s="87"/>
      <c r="W115" s="87"/>
      <c r="X115" s="53"/>
      <c r="Y115" s="53"/>
      <c r="Z115" s="53"/>
      <c r="AA115" s="53"/>
      <c r="AB115" s="53"/>
      <c r="AC115" s="53"/>
      <c r="AD115" s="53"/>
      <c r="AE115" s="53"/>
      <c r="AF115" s="53"/>
    </row>
    <row r="116" spans="1:32" ht="15" x14ac:dyDescent="0.2">
      <c r="A116" s="59"/>
      <c r="B116" s="53"/>
      <c r="C116" s="53"/>
      <c r="D116" s="53"/>
      <c r="E116" s="53"/>
      <c r="F116" s="84"/>
      <c r="G116" s="85"/>
      <c r="H116" s="85"/>
      <c r="I116" s="85"/>
      <c r="J116" s="85"/>
      <c r="K116" s="86"/>
      <c r="L116" s="86"/>
      <c r="M116" s="86"/>
      <c r="N116" s="87"/>
      <c r="O116" s="87"/>
      <c r="P116" s="87"/>
      <c r="Q116" s="87"/>
      <c r="R116" s="87"/>
      <c r="S116" s="87"/>
      <c r="T116" s="87"/>
      <c r="U116" s="87"/>
      <c r="V116" s="87"/>
      <c r="W116" s="87"/>
      <c r="X116" s="53"/>
      <c r="Y116" s="53"/>
      <c r="Z116" s="53"/>
      <c r="AA116" s="53"/>
      <c r="AB116" s="53"/>
      <c r="AC116" s="53"/>
      <c r="AD116" s="53"/>
      <c r="AE116" s="53"/>
      <c r="AF116" s="53"/>
    </row>
    <row r="117" spans="1:32" ht="15" x14ac:dyDescent="0.2">
      <c r="A117" s="59"/>
      <c r="B117" s="53"/>
      <c r="C117" s="53"/>
      <c r="D117" s="53"/>
      <c r="E117" s="53"/>
      <c r="F117" s="84"/>
      <c r="G117" s="85"/>
      <c r="H117" s="85"/>
      <c r="I117" s="85"/>
      <c r="J117" s="85"/>
      <c r="K117" s="86"/>
      <c r="L117" s="86"/>
      <c r="M117" s="86"/>
      <c r="N117" s="87"/>
      <c r="O117" s="87"/>
      <c r="P117" s="87"/>
      <c r="Q117" s="87"/>
      <c r="R117" s="87"/>
      <c r="S117" s="87"/>
      <c r="T117" s="87"/>
      <c r="U117" s="87"/>
      <c r="V117" s="87"/>
      <c r="W117" s="87"/>
      <c r="X117" s="53"/>
      <c r="Y117" s="53"/>
      <c r="Z117" s="53"/>
      <c r="AA117" s="53"/>
      <c r="AB117" s="53"/>
      <c r="AC117" s="53"/>
      <c r="AD117" s="53"/>
      <c r="AE117" s="53"/>
      <c r="AF117" s="53"/>
    </row>
    <row r="118" spans="1:32" ht="15" x14ac:dyDescent="0.2">
      <c r="A118" s="59"/>
      <c r="B118" s="53"/>
      <c r="C118" s="53"/>
      <c r="D118" s="53"/>
      <c r="E118" s="53"/>
      <c r="F118" s="84"/>
      <c r="G118" s="85"/>
      <c r="H118" s="85"/>
      <c r="I118" s="85"/>
      <c r="J118" s="85"/>
      <c r="K118" s="86"/>
      <c r="L118" s="86"/>
      <c r="M118" s="86"/>
      <c r="N118" s="87"/>
      <c r="O118" s="87"/>
      <c r="P118" s="87"/>
      <c r="Q118" s="87"/>
      <c r="R118" s="87"/>
      <c r="S118" s="87"/>
      <c r="T118" s="87"/>
      <c r="U118" s="87"/>
      <c r="V118" s="87"/>
      <c r="W118" s="87"/>
      <c r="X118" s="53"/>
      <c r="Y118" s="53"/>
      <c r="Z118" s="53"/>
      <c r="AA118" s="53"/>
      <c r="AB118" s="53"/>
      <c r="AC118" s="53"/>
      <c r="AD118" s="53"/>
      <c r="AE118" s="53"/>
      <c r="AF118" s="53"/>
    </row>
    <row r="119" spans="1:32" ht="15" x14ac:dyDescent="0.2">
      <c r="A119" s="59"/>
      <c r="B119" s="53"/>
      <c r="C119" s="53"/>
      <c r="D119" s="53"/>
      <c r="E119" s="53"/>
      <c r="F119" s="84"/>
      <c r="G119" s="85"/>
      <c r="H119" s="85"/>
      <c r="I119" s="85"/>
      <c r="J119" s="85"/>
      <c r="K119" s="86"/>
      <c r="L119" s="86"/>
      <c r="M119" s="86"/>
      <c r="N119" s="87"/>
      <c r="O119" s="87"/>
      <c r="P119" s="87"/>
      <c r="Q119" s="87"/>
      <c r="R119" s="87"/>
      <c r="S119" s="87"/>
      <c r="T119" s="87"/>
      <c r="U119" s="87"/>
      <c r="V119" s="87"/>
      <c r="W119" s="87"/>
      <c r="X119" s="53"/>
      <c r="Y119" s="53"/>
      <c r="Z119" s="53"/>
      <c r="AA119" s="53"/>
      <c r="AB119" s="53"/>
      <c r="AC119" s="53"/>
      <c r="AD119" s="53"/>
      <c r="AE119" s="53"/>
      <c r="AF119" s="53"/>
    </row>
    <row r="120" spans="1:32" ht="15" x14ac:dyDescent="0.2">
      <c r="A120" s="59"/>
      <c r="B120" s="53"/>
      <c r="C120" s="53"/>
      <c r="D120" s="53"/>
      <c r="E120" s="53"/>
      <c r="F120" s="84"/>
      <c r="G120" s="85"/>
      <c r="H120" s="85"/>
      <c r="I120" s="85"/>
      <c r="J120" s="85"/>
      <c r="K120" s="86"/>
      <c r="L120" s="86"/>
      <c r="M120" s="86"/>
      <c r="N120" s="87"/>
      <c r="O120" s="87"/>
      <c r="P120" s="87"/>
      <c r="Q120" s="87"/>
      <c r="R120" s="87"/>
      <c r="S120" s="87"/>
      <c r="T120" s="87"/>
      <c r="U120" s="87"/>
      <c r="V120" s="87"/>
      <c r="W120" s="87"/>
      <c r="X120" s="53"/>
      <c r="Y120" s="53"/>
      <c r="Z120" s="53"/>
      <c r="AA120" s="53"/>
      <c r="AB120" s="53"/>
      <c r="AC120" s="53"/>
      <c r="AD120" s="53"/>
      <c r="AE120" s="53"/>
      <c r="AF120" s="53"/>
    </row>
    <row r="121" spans="1:32" ht="15" x14ac:dyDescent="0.2">
      <c r="A121" s="59"/>
      <c r="B121" s="53"/>
      <c r="C121" s="53"/>
      <c r="D121" s="53"/>
      <c r="E121" s="53"/>
      <c r="F121" s="84"/>
      <c r="G121" s="85"/>
      <c r="H121" s="85"/>
      <c r="I121" s="85"/>
      <c r="J121" s="85"/>
      <c r="K121" s="86"/>
      <c r="L121" s="86"/>
      <c r="M121" s="86"/>
      <c r="N121" s="87"/>
      <c r="O121" s="87"/>
      <c r="P121" s="87"/>
      <c r="Q121" s="87"/>
      <c r="R121" s="87"/>
      <c r="S121" s="87"/>
      <c r="T121" s="87"/>
      <c r="U121" s="87"/>
      <c r="V121" s="87"/>
      <c r="W121" s="87"/>
      <c r="X121" s="53"/>
      <c r="Y121" s="53"/>
      <c r="Z121" s="53"/>
      <c r="AA121" s="53"/>
      <c r="AB121" s="53"/>
      <c r="AC121" s="53"/>
      <c r="AD121" s="53"/>
      <c r="AE121" s="53"/>
      <c r="AF121" s="53"/>
    </row>
    <row r="122" spans="1:32" ht="15" x14ac:dyDescent="0.2">
      <c r="A122" s="59"/>
      <c r="B122" s="53"/>
      <c r="C122" s="53"/>
      <c r="D122" s="53"/>
      <c r="E122" s="53"/>
      <c r="F122" s="84"/>
      <c r="G122" s="85"/>
      <c r="H122" s="85"/>
      <c r="I122" s="85"/>
      <c r="J122" s="85"/>
      <c r="K122" s="86"/>
      <c r="L122" s="86"/>
      <c r="M122" s="86"/>
      <c r="N122" s="87"/>
      <c r="O122" s="87"/>
      <c r="P122" s="87"/>
      <c r="Q122" s="87"/>
      <c r="R122" s="87"/>
      <c r="S122" s="87"/>
      <c r="T122" s="87"/>
      <c r="U122" s="87"/>
      <c r="V122" s="87"/>
      <c r="W122" s="87"/>
      <c r="X122" s="53"/>
      <c r="Y122" s="53"/>
      <c r="Z122" s="53"/>
      <c r="AA122" s="53"/>
      <c r="AB122" s="53"/>
      <c r="AC122" s="53"/>
      <c r="AD122" s="53"/>
      <c r="AE122" s="53"/>
      <c r="AF122" s="53"/>
    </row>
    <row r="123" spans="1:32" ht="15" x14ac:dyDescent="0.2">
      <c r="A123" s="59"/>
      <c r="B123" s="53"/>
      <c r="C123" s="53"/>
      <c r="D123" s="53"/>
      <c r="E123" s="53"/>
      <c r="F123" s="84"/>
      <c r="G123" s="85"/>
      <c r="H123" s="85"/>
      <c r="I123" s="85"/>
      <c r="J123" s="85"/>
      <c r="K123" s="86"/>
      <c r="L123" s="86"/>
      <c r="M123" s="86"/>
      <c r="N123" s="87"/>
      <c r="O123" s="87"/>
      <c r="P123" s="87"/>
      <c r="Q123" s="87"/>
      <c r="R123" s="87"/>
      <c r="S123" s="87"/>
      <c r="T123" s="87"/>
      <c r="U123" s="87"/>
      <c r="V123" s="87"/>
      <c r="W123" s="87"/>
      <c r="X123" s="53"/>
      <c r="Y123" s="53"/>
      <c r="Z123" s="53"/>
      <c r="AA123" s="53"/>
      <c r="AB123" s="53"/>
      <c r="AC123" s="53"/>
      <c r="AD123" s="53"/>
      <c r="AE123" s="53"/>
      <c r="AF123" s="53"/>
    </row>
    <row r="124" spans="1:32" ht="15" x14ac:dyDescent="0.2">
      <c r="A124" s="59"/>
      <c r="B124" s="53"/>
      <c r="C124" s="53"/>
      <c r="D124" s="53"/>
      <c r="E124" s="53"/>
      <c r="F124" s="84"/>
      <c r="G124" s="85"/>
      <c r="H124" s="85"/>
      <c r="I124" s="85"/>
      <c r="J124" s="85"/>
      <c r="K124" s="86"/>
      <c r="L124" s="86"/>
      <c r="M124" s="86"/>
      <c r="N124" s="87"/>
      <c r="O124" s="87"/>
      <c r="P124" s="87"/>
      <c r="Q124" s="87"/>
      <c r="R124" s="87"/>
      <c r="S124" s="87"/>
      <c r="T124" s="87"/>
      <c r="U124" s="87"/>
      <c r="V124" s="87"/>
      <c r="W124" s="87"/>
      <c r="X124" s="53"/>
      <c r="Y124" s="53"/>
      <c r="Z124" s="53"/>
      <c r="AA124" s="53"/>
      <c r="AB124" s="53"/>
      <c r="AC124" s="53"/>
      <c r="AD124" s="53"/>
      <c r="AE124" s="53"/>
      <c r="AF124" s="53"/>
    </row>
    <row r="125" spans="1:32" ht="15" x14ac:dyDescent="0.2">
      <c r="A125" s="59"/>
      <c r="B125" s="53"/>
      <c r="C125" s="53"/>
      <c r="D125" s="53"/>
      <c r="E125" s="53"/>
      <c r="F125" s="84"/>
      <c r="G125" s="85"/>
      <c r="H125" s="85"/>
      <c r="I125" s="85"/>
      <c r="J125" s="85"/>
      <c r="K125" s="86"/>
      <c r="L125" s="86"/>
      <c r="M125" s="86"/>
      <c r="N125" s="87"/>
      <c r="O125" s="87"/>
      <c r="P125" s="87"/>
      <c r="Q125" s="87"/>
      <c r="R125" s="87"/>
      <c r="S125" s="87"/>
      <c r="T125" s="87"/>
      <c r="U125" s="87"/>
      <c r="V125" s="87"/>
      <c r="W125" s="87"/>
      <c r="X125" s="53"/>
      <c r="Y125" s="53"/>
      <c r="Z125" s="53"/>
      <c r="AA125" s="53"/>
      <c r="AB125" s="53"/>
      <c r="AC125" s="53"/>
      <c r="AD125" s="53"/>
      <c r="AE125" s="53"/>
      <c r="AF125" s="53"/>
    </row>
    <row r="126" spans="1:32" ht="15" x14ac:dyDescent="0.2">
      <c r="A126" s="59"/>
      <c r="B126" s="53"/>
      <c r="C126" s="53"/>
      <c r="D126" s="53"/>
      <c r="E126" s="53"/>
      <c r="F126" s="84"/>
      <c r="G126" s="85"/>
      <c r="H126" s="85"/>
      <c r="I126" s="85"/>
      <c r="J126" s="85"/>
      <c r="K126" s="86"/>
      <c r="L126" s="86"/>
      <c r="M126" s="86"/>
      <c r="N126" s="87"/>
      <c r="O126" s="87"/>
      <c r="P126" s="87"/>
      <c r="Q126" s="87"/>
      <c r="R126" s="87"/>
      <c r="S126" s="87"/>
      <c r="T126" s="87"/>
      <c r="U126" s="87"/>
      <c r="V126" s="87"/>
      <c r="W126" s="87"/>
      <c r="X126" s="53"/>
      <c r="Y126" s="53"/>
      <c r="Z126" s="53"/>
      <c r="AA126" s="53"/>
      <c r="AB126" s="53"/>
      <c r="AC126" s="53"/>
      <c r="AD126" s="53"/>
      <c r="AE126" s="53"/>
      <c r="AF126" s="53"/>
    </row>
  </sheetData>
  <mergeCells count="1">
    <mergeCell ref="B2:AF6"/>
  </mergeCells>
  <dataValidations count="1">
    <dataValidation type="list" allowBlank="1" showInputMessage="1" showErrorMessage="1" sqref="B11:B13" xr:uid="{00000000-0002-0000-0700-000000000000}">
      <formula1>$AJ$199:$AJ$208</formula1>
    </dataValidation>
  </dataValidations>
  <pageMargins left="0.7" right="0.7" top="0.75" bottom="0.75" header="0.3" footer="0.3"/>
  <pageSetup scale="25" orientation="landscape"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theme="4" tint="0.39997558519241921"/>
  </sheetPr>
  <dimension ref="A1:AG126"/>
  <sheetViews>
    <sheetView topLeftCell="U1" zoomScale="60" zoomScaleNormal="60" workbookViewId="0">
      <selection activeCell="E27" sqref="E27"/>
    </sheetView>
  </sheetViews>
  <sheetFormatPr defaultColWidth="9.140625" defaultRowHeight="14.25" x14ac:dyDescent="0.2"/>
  <cols>
    <col min="1" max="1" width="8.7109375" style="67" customWidth="1"/>
    <col min="2" max="2" width="16.85546875" style="67" bestFit="1" customWidth="1"/>
    <col min="3" max="3" width="19.42578125" style="67" bestFit="1" customWidth="1"/>
    <col min="4" max="4" width="37.28515625" style="67" bestFit="1" customWidth="1"/>
    <col min="5" max="5" width="34.85546875" style="67" customWidth="1"/>
    <col min="6" max="6" width="24.42578125" style="68" bestFit="1" customWidth="1"/>
    <col min="7" max="7" width="23" style="69" bestFit="1" customWidth="1"/>
    <col min="8" max="8" width="31.5703125" style="69" customWidth="1"/>
    <col min="9" max="9" width="29.140625" style="69" customWidth="1"/>
    <col min="10" max="10" width="41.7109375" style="69" customWidth="1"/>
    <col min="11" max="11" width="32.7109375" style="70" bestFit="1" customWidth="1"/>
    <col min="12" max="12" width="7.7109375" style="70" bestFit="1" customWidth="1"/>
    <col min="13" max="13" width="25.5703125" style="70" bestFit="1" customWidth="1"/>
    <col min="14" max="14" width="27" style="71" bestFit="1" customWidth="1"/>
    <col min="15" max="15" width="16.5703125" style="71" bestFit="1" customWidth="1"/>
    <col min="16" max="17" width="16.5703125" style="71" customWidth="1"/>
    <col min="18" max="18" width="19.85546875" style="71" bestFit="1" customWidth="1"/>
    <col min="19" max="19" width="16.85546875" style="67" bestFit="1" customWidth="1"/>
    <col min="20" max="20" width="14.85546875" style="67" bestFit="1" customWidth="1"/>
    <col min="21" max="21" width="15.42578125" style="67" customWidth="1"/>
    <col min="22" max="22" width="27" style="67" bestFit="1" customWidth="1"/>
    <col min="23" max="23" width="25" style="67" customWidth="1"/>
    <col min="24" max="24" width="17" style="67" bestFit="1" customWidth="1"/>
    <col min="25" max="25" width="20.42578125" style="67" customWidth="1"/>
    <col min="26" max="26" width="20.85546875" style="67" customWidth="1"/>
    <col min="27" max="27" width="17" style="67" customWidth="1"/>
    <col min="28" max="28" width="22.28515625" style="67" customWidth="1"/>
    <col min="29" max="29" width="18.140625" style="67" customWidth="1"/>
    <col min="30" max="30" width="21" style="67" customWidth="1"/>
    <col min="31" max="31" width="13.85546875" style="67" customWidth="1"/>
    <col min="32" max="32" width="16.85546875" style="67" customWidth="1"/>
    <col min="33" max="16384" width="9.140625" style="67"/>
  </cols>
  <sheetData>
    <row r="1" spans="1:33" ht="15.75" customHeight="1" thickTop="1" thickBot="1" x14ac:dyDescent="0.45">
      <c r="A1" s="55"/>
      <c r="B1" s="56"/>
      <c r="C1" s="56"/>
      <c r="D1" s="56"/>
      <c r="E1" s="56"/>
      <c r="F1" s="56"/>
      <c r="G1" s="56"/>
      <c r="H1" s="56"/>
      <c r="I1" s="56"/>
      <c r="J1" s="56"/>
      <c r="K1" s="56"/>
      <c r="L1" s="56"/>
      <c r="M1" s="56"/>
      <c r="N1" s="56"/>
      <c r="O1" s="56"/>
      <c r="P1" s="56"/>
      <c r="Q1" s="56"/>
      <c r="R1" s="56"/>
      <c r="S1" s="56"/>
      <c r="T1" s="91"/>
      <c r="U1" s="91"/>
      <c r="V1" s="91"/>
      <c r="W1" s="91"/>
      <c r="X1" s="91"/>
      <c r="Y1" s="91"/>
      <c r="Z1" s="91"/>
      <c r="AA1" s="91"/>
      <c r="AB1" s="91"/>
      <c r="AC1" s="91"/>
      <c r="AD1" s="91"/>
      <c r="AE1" s="91"/>
      <c r="AF1" s="91"/>
      <c r="AG1" s="92"/>
    </row>
    <row r="2" spans="1:33" ht="15" customHeight="1" x14ac:dyDescent="0.25">
      <c r="A2" s="57"/>
      <c r="B2" s="505" t="str">
        <f>IF('Stage Generator'!F21="","",'Stage Generator'!F21&amp;" Well Summary")</f>
        <v/>
      </c>
      <c r="C2" s="506"/>
      <c r="D2" s="506"/>
      <c r="E2" s="506"/>
      <c r="F2" s="506"/>
      <c r="G2" s="506"/>
      <c r="H2" s="506"/>
      <c r="I2" s="506"/>
      <c r="J2" s="506"/>
      <c r="K2" s="506"/>
      <c r="L2" s="506"/>
      <c r="M2" s="506"/>
      <c r="N2" s="506"/>
      <c r="O2" s="506"/>
      <c r="P2" s="506"/>
      <c r="Q2" s="506"/>
      <c r="R2" s="506"/>
      <c r="S2" s="506"/>
      <c r="T2" s="506"/>
      <c r="U2" s="506"/>
      <c r="V2" s="506"/>
      <c r="W2" s="506"/>
      <c r="X2" s="506"/>
      <c r="Y2" s="506"/>
      <c r="Z2" s="506"/>
      <c r="AA2" s="506"/>
      <c r="AB2" s="506"/>
      <c r="AC2" s="506"/>
      <c r="AD2" s="506"/>
      <c r="AE2" s="506"/>
      <c r="AF2" s="507"/>
      <c r="AG2" s="77"/>
    </row>
    <row r="3" spans="1:33" ht="15" customHeight="1" x14ac:dyDescent="0.25">
      <c r="A3" s="57"/>
      <c r="B3" s="508"/>
      <c r="C3" s="509"/>
      <c r="D3" s="509"/>
      <c r="E3" s="509"/>
      <c r="F3" s="509"/>
      <c r="G3" s="509"/>
      <c r="H3" s="509"/>
      <c r="I3" s="509"/>
      <c r="J3" s="509"/>
      <c r="K3" s="509"/>
      <c r="L3" s="509"/>
      <c r="M3" s="509"/>
      <c r="N3" s="509"/>
      <c r="O3" s="509"/>
      <c r="P3" s="509"/>
      <c r="Q3" s="509"/>
      <c r="R3" s="509"/>
      <c r="S3" s="509"/>
      <c r="T3" s="509"/>
      <c r="U3" s="509"/>
      <c r="V3" s="509"/>
      <c r="W3" s="509"/>
      <c r="X3" s="509"/>
      <c r="Y3" s="509"/>
      <c r="Z3" s="509"/>
      <c r="AA3" s="509"/>
      <c r="AB3" s="509"/>
      <c r="AC3" s="509"/>
      <c r="AD3" s="509"/>
      <c r="AE3" s="509"/>
      <c r="AF3" s="510"/>
      <c r="AG3" s="77"/>
    </row>
    <row r="4" spans="1:33" ht="15" customHeight="1" x14ac:dyDescent="0.25">
      <c r="A4" s="57"/>
      <c r="B4" s="508"/>
      <c r="C4" s="509"/>
      <c r="D4" s="509"/>
      <c r="E4" s="509"/>
      <c r="F4" s="509"/>
      <c r="G4" s="509"/>
      <c r="H4" s="509"/>
      <c r="I4" s="509"/>
      <c r="J4" s="509"/>
      <c r="K4" s="509"/>
      <c r="L4" s="509"/>
      <c r="M4" s="509"/>
      <c r="N4" s="509"/>
      <c r="O4" s="509"/>
      <c r="P4" s="509"/>
      <c r="Q4" s="509"/>
      <c r="R4" s="509"/>
      <c r="S4" s="509"/>
      <c r="T4" s="509"/>
      <c r="U4" s="509"/>
      <c r="V4" s="509"/>
      <c r="W4" s="509"/>
      <c r="X4" s="509"/>
      <c r="Y4" s="509"/>
      <c r="Z4" s="509"/>
      <c r="AA4" s="509"/>
      <c r="AB4" s="509"/>
      <c r="AC4" s="509"/>
      <c r="AD4" s="509"/>
      <c r="AE4" s="509"/>
      <c r="AF4" s="510"/>
      <c r="AG4" s="77"/>
    </row>
    <row r="5" spans="1:33" ht="15" customHeight="1" x14ac:dyDescent="0.25">
      <c r="A5" s="57"/>
      <c r="B5" s="508"/>
      <c r="C5" s="509"/>
      <c r="D5" s="509"/>
      <c r="E5" s="509"/>
      <c r="F5" s="509"/>
      <c r="G5" s="509"/>
      <c r="H5" s="509"/>
      <c r="I5" s="509"/>
      <c r="J5" s="509"/>
      <c r="K5" s="509"/>
      <c r="L5" s="509"/>
      <c r="M5" s="509"/>
      <c r="N5" s="509"/>
      <c r="O5" s="509"/>
      <c r="P5" s="509"/>
      <c r="Q5" s="509"/>
      <c r="R5" s="509"/>
      <c r="S5" s="509"/>
      <c r="T5" s="509"/>
      <c r="U5" s="509"/>
      <c r="V5" s="509"/>
      <c r="W5" s="509"/>
      <c r="X5" s="509"/>
      <c r="Y5" s="509"/>
      <c r="Z5" s="509"/>
      <c r="AA5" s="509"/>
      <c r="AB5" s="509"/>
      <c r="AC5" s="509"/>
      <c r="AD5" s="509"/>
      <c r="AE5" s="509"/>
      <c r="AF5" s="510"/>
      <c r="AG5" s="77"/>
    </row>
    <row r="6" spans="1:33" ht="15.75" customHeight="1" thickBot="1" x14ac:dyDescent="0.3">
      <c r="A6" s="58"/>
      <c r="B6" s="511"/>
      <c r="C6" s="512"/>
      <c r="D6" s="512"/>
      <c r="E6" s="512"/>
      <c r="F6" s="512"/>
      <c r="G6" s="512"/>
      <c r="H6" s="512"/>
      <c r="I6" s="512"/>
      <c r="J6" s="512"/>
      <c r="K6" s="512"/>
      <c r="L6" s="512"/>
      <c r="M6" s="512"/>
      <c r="N6" s="512"/>
      <c r="O6" s="512"/>
      <c r="P6" s="512"/>
      <c r="Q6" s="512"/>
      <c r="R6" s="512"/>
      <c r="S6" s="512"/>
      <c r="T6" s="512"/>
      <c r="U6" s="512"/>
      <c r="V6" s="512"/>
      <c r="W6" s="512"/>
      <c r="X6" s="512"/>
      <c r="Y6" s="512"/>
      <c r="Z6" s="512"/>
      <c r="AA6" s="512"/>
      <c r="AB6" s="512"/>
      <c r="AC6" s="512"/>
      <c r="AD6" s="512"/>
      <c r="AE6" s="512"/>
      <c r="AF6" s="513"/>
      <c r="AG6" s="77"/>
    </row>
    <row r="7" spans="1:33" ht="16.5" customHeight="1" x14ac:dyDescent="0.2">
      <c r="A7" s="59"/>
      <c r="B7" s="52"/>
      <c r="C7" s="52"/>
      <c r="D7" s="52"/>
      <c r="E7" s="52"/>
      <c r="F7" s="52"/>
      <c r="G7" s="52"/>
      <c r="H7" s="52"/>
      <c r="I7" s="52"/>
      <c r="J7" s="52"/>
      <c r="K7" s="52"/>
      <c r="L7" s="52"/>
      <c r="M7" s="52"/>
      <c r="N7" s="52"/>
      <c r="O7" s="52"/>
      <c r="P7" s="52"/>
      <c r="Q7" s="52"/>
      <c r="R7" s="52"/>
      <c r="S7" s="52"/>
      <c r="T7" s="76"/>
      <c r="U7" s="76"/>
      <c r="V7" s="76"/>
      <c r="W7" s="76"/>
      <c r="X7" s="76"/>
      <c r="Y7" s="76"/>
      <c r="Z7" s="76"/>
      <c r="AA7" s="76"/>
      <c r="AB7" s="76"/>
      <c r="AC7" s="76"/>
      <c r="AD7" s="76"/>
      <c r="AE7" s="76"/>
      <c r="AF7" s="76"/>
      <c r="AG7" s="77"/>
    </row>
    <row r="8" spans="1:33" ht="15.75" thickBot="1" x14ac:dyDescent="0.25">
      <c r="A8" s="59"/>
      <c r="B8" s="72"/>
      <c r="C8" s="72"/>
      <c r="D8" s="72"/>
      <c r="E8" s="72"/>
      <c r="F8" s="73"/>
      <c r="G8" s="74"/>
      <c r="H8" s="74"/>
      <c r="I8" s="74"/>
      <c r="J8" s="74"/>
      <c r="K8" s="75"/>
      <c r="L8" s="75"/>
      <c r="M8" s="75"/>
      <c r="N8" s="76"/>
      <c r="O8" s="76"/>
      <c r="P8" s="76"/>
      <c r="Q8" s="76"/>
      <c r="R8" s="76"/>
      <c r="S8" s="76"/>
      <c r="T8" s="76"/>
      <c r="U8" s="76"/>
      <c r="V8" s="76"/>
      <c r="W8" s="76"/>
      <c r="X8" s="76"/>
      <c r="Y8" s="76"/>
      <c r="Z8" s="76"/>
      <c r="AA8" s="76"/>
      <c r="AB8" s="76"/>
      <c r="AC8" s="76"/>
      <c r="AD8" s="76"/>
      <c r="AE8" s="76"/>
      <c r="AF8" s="76"/>
      <c r="AG8" s="77"/>
    </row>
    <row r="9" spans="1:33" ht="16.5" thickBot="1" x14ac:dyDescent="0.3">
      <c r="A9" s="59"/>
      <c r="B9" s="17" t="s">
        <v>0</v>
      </c>
      <c r="C9" s="136"/>
      <c r="D9" s="35"/>
      <c r="E9" s="35"/>
      <c r="F9" s="35"/>
      <c r="G9" s="35"/>
      <c r="H9" s="35"/>
      <c r="I9" s="35"/>
      <c r="J9" s="74"/>
      <c r="K9" s="75"/>
      <c r="L9" s="75"/>
      <c r="M9" s="75"/>
      <c r="N9" s="76"/>
      <c r="O9" s="76"/>
      <c r="P9" s="76"/>
      <c r="Q9" s="76"/>
      <c r="R9" s="76"/>
      <c r="S9" s="76"/>
      <c r="T9" s="76"/>
      <c r="U9" s="76"/>
      <c r="V9" s="76"/>
      <c r="W9" s="76"/>
      <c r="X9" s="76"/>
      <c r="Y9" s="76"/>
      <c r="Z9" s="76"/>
      <c r="AA9" s="76"/>
      <c r="AB9" s="76"/>
      <c r="AC9" s="76"/>
      <c r="AD9" s="76"/>
      <c r="AE9" s="76"/>
      <c r="AF9" s="76"/>
      <c r="AG9" s="77"/>
    </row>
    <row r="10" spans="1:33" ht="16.5" thickBot="1" x14ac:dyDescent="0.3">
      <c r="A10" s="59"/>
      <c r="B10" s="16" t="s">
        <v>25</v>
      </c>
      <c r="C10" s="18" t="s">
        <v>42</v>
      </c>
      <c r="D10" s="19" t="s">
        <v>43</v>
      </c>
      <c r="E10" s="20" t="s">
        <v>44</v>
      </c>
      <c r="F10" s="20" t="s">
        <v>45</v>
      </c>
      <c r="G10" s="21" t="s">
        <v>46</v>
      </c>
      <c r="H10" s="74"/>
      <c r="I10" s="74"/>
      <c r="J10" s="74"/>
      <c r="K10" s="75"/>
      <c r="L10" s="75"/>
      <c r="M10" s="75"/>
      <c r="N10" s="76"/>
      <c r="O10" s="76"/>
      <c r="P10" s="76"/>
      <c r="Q10" s="76"/>
      <c r="R10" s="76"/>
      <c r="S10" s="76"/>
      <c r="T10" s="76"/>
      <c r="U10" s="76"/>
      <c r="V10" s="76"/>
      <c r="W10" s="76"/>
      <c r="X10" s="76"/>
      <c r="Y10" s="76"/>
      <c r="Z10" s="76"/>
      <c r="AA10" s="76"/>
      <c r="AB10" s="76"/>
      <c r="AC10" s="76"/>
      <c r="AD10" s="76"/>
      <c r="AE10" s="76"/>
      <c r="AF10" s="76"/>
      <c r="AG10" s="77"/>
    </row>
    <row r="11" spans="1:33" ht="16.5" thickBot="1" x14ac:dyDescent="0.25">
      <c r="A11" s="59"/>
      <c r="B11" s="128" t="s">
        <v>9</v>
      </c>
      <c r="C11" s="132"/>
      <c r="D11" s="121"/>
      <c r="E11" s="133"/>
      <c r="F11" s="150"/>
      <c r="G11" s="15"/>
      <c r="H11" s="35"/>
      <c r="I11" s="35"/>
      <c r="J11" s="74"/>
      <c r="K11" s="75"/>
      <c r="L11" s="75"/>
      <c r="M11" s="75"/>
      <c r="N11" s="76"/>
      <c r="O11" s="76"/>
      <c r="P11" s="76"/>
      <c r="Q11" s="76"/>
      <c r="R11" s="76"/>
      <c r="S11" s="76"/>
      <c r="T11" s="76"/>
      <c r="U11" s="76"/>
      <c r="V11" s="76"/>
      <c r="W11" s="76"/>
      <c r="X11" s="76"/>
      <c r="Y11" s="76"/>
      <c r="Z11" s="76"/>
      <c r="AA11" s="76"/>
      <c r="AB11" s="76"/>
      <c r="AC11" s="76"/>
      <c r="AD11" s="76"/>
      <c r="AE11" s="76"/>
      <c r="AF11" s="76"/>
      <c r="AG11" s="77"/>
    </row>
    <row r="12" spans="1:33" ht="16.5" thickBot="1" x14ac:dyDescent="0.25">
      <c r="A12" s="59"/>
      <c r="B12" s="128" t="s">
        <v>40</v>
      </c>
      <c r="C12" s="132"/>
      <c r="D12" s="121"/>
      <c r="E12" s="121"/>
      <c r="F12" s="150"/>
      <c r="G12" s="150"/>
      <c r="H12" s="74"/>
      <c r="I12" s="74"/>
      <c r="J12" s="74"/>
      <c r="K12" s="75"/>
      <c r="L12" s="75"/>
      <c r="M12" s="75"/>
      <c r="N12" s="76"/>
      <c r="O12" s="76"/>
      <c r="P12" s="76"/>
      <c r="Q12" s="76"/>
      <c r="R12" s="76"/>
      <c r="S12" s="76"/>
      <c r="T12" s="76"/>
      <c r="U12" s="76"/>
      <c r="V12" s="76"/>
      <c r="W12" s="76"/>
      <c r="X12" s="76"/>
      <c r="Y12" s="76"/>
      <c r="Z12" s="76"/>
      <c r="AA12" s="76"/>
      <c r="AB12" s="76"/>
      <c r="AC12" s="76"/>
      <c r="AD12" s="76"/>
      <c r="AE12" s="76"/>
      <c r="AF12" s="76"/>
      <c r="AG12" s="77"/>
    </row>
    <row r="13" spans="1:33" ht="16.5" thickBot="1" x14ac:dyDescent="0.25">
      <c r="A13" s="59"/>
      <c r="B13" s="129" t="s">
        <v>41</v>
      </c>
      <c r="C13" s="134"/>
      <c r="D13" s="135"/>
      <c r="E13" s="131"/>
      <c r="F13" s="151"/>
      <c r="G13" s="151"/>
      <c r="H13" s="35"/>
      <c r="I13" s="35"/>
      <c r="J13" s="74"/>
      <c r="K13" s="75"/>
      <c r="L13" s="75"/>
      <c r="M13" s="75"/>
      <c r="N13" s="76"/>
      <c r="O13" s="76"/>
      <c r="P13" s="76"/>
      <c r="Q13" s="76"/>
      <c r="R13" s="76"/>
      <c r="S13" s="76"/>
      <c r="T13" s="76"/>
      <c r="U13" s="76"/>
      <c r="V13" s="76"/>
      <c r="W13" s="76"/>
      <c r="X13" s="76"/>
      <c r="Y13" s="76"/>
      <c r="Z13" s="76"/>
      <c r="AA13" s="76"/>
      <c r="AB13" s="76"/>
      <c r="AC13" s="76"/>
      <c r="AD13" s="76"/>
      <c r="AE13" s="76"/>
      <c r="AF13" s="76"/>
      <c r="AG13" s="77"/>
    </row>
    <row r="14" spans="1:33" ht="15" x14ac:dyDescent="0.2">
      <c r="A14" s="59"/>
      <c r="B14" s="72"/>
      <c r="C14" s="72"/>
      <c r="D14" s="72"/>
      <c r="E14" s="72"/>
      <c r="F14" s="73"/>
      <c r="G14" s="74"/>
      <c r="H14" s="74"/>
      <c r="I14" s="74"/>
      <c r="J14" s="74"/>
      <c r="K14" s="75"/>
      <c r="L14" s="75"/>
      <c r="M14" s="75"/>
      <c r="N14" s="76"/>
      <c r="O14" s="76"/>
      <c r="P14" s="76"/>
      <c r="Q14" s="76"/>
      <c r="R14" s="76"/>
      <c r="S14" s="76"/>
      <c r="T14" s="76"/>
      <c r="U14" s="76"/>
      <c r="V14" s="76"/>
      <c r="W14" s="76"/>
      <c r="X14" s="76"/>
      <c r="Y14" s="76"/>
      <c r="Z14" s="76"/>
      <c r="AA14" s="76"/>
      <c r="AB14" s="76"/>
      <c r="AC14" s="76"/>
      <c r="AD14" s="76"/>
      <c r="AE14" s="76"/>
      <c r="AF14" s="76"/>
      <c r="AG14" s="77"/>
    </row>
    <row r="15" spans="1:33" ht="15" x14ac:dyDescent="0.2">
      <c r="A15" s="59"/>
      <c r="B15" s="72"/>
      <c r="C15" s="72"/>
      <c r="D15" s="72"/>
      <c r="E15" s="72"/>
      <c r="F15" s="73"/>
      <c r="G15" s="74"/>
      <c r="H15" s="74"/>
      <c r="I15" s="74"/>
      <c r="J15" s="74"/>
      <c r="K15" s="75"/>
      <c r="L15" s="75"/>
      <c r="M15" s="75"/>
      <c r="N15" s="76"/>
      <c r="O15" s="76"/>
      <c r="P15" s="76"/>
      <c r="Q15" s="76"/>
      <c r="R15" s="76"/>
      <c r="S15" s="76"/>
      <c r="T15" s="76"/>
      <c r="U15" s="76"/>
      <c r="V15" s="76"/>
      <c r="W15" s="76"/>
      <c r="X15" s="76"/>
      <c r="Y15" s="76"/>
      <c r="Z15" s="76"/>
      <c r="AA15" s="76"/>
      <c r="AB15" s="76"/>
      <c r="AC15" s="76"/>
      <c r="AD15" s="76"/>
      <c r="AE15" s="76"/>
      <c r="AF15" s="76"/>
      <c r="AG15" s="77"/>
    </row>
    <row r="16" spans="1:33" ht="15.75" thickBot="1" x14ac:dyDescent="0.25">
      <c r="A16" s="59"/>
      <c r="B16" s="72"/>
      <c r="C16" s="72"/>
      <c r="D16" s="72"/>
      <c r="E16" s="72"/>
      <c r="F16" s="73"/>
      <c r="G16" s="74"/>
      <c r="H16" s="74"/>
      <c r="I16" s="74"/>
      <c r="J16" s="74"/>
      <c r="K16" s="75"/>
      <c r="L16" s="75"/>
      <c r="M16" s="75"/>
      <c r="N16" s="76"/>
      <c r="O16" s="76"/>
      <c r="P16" s="76"/>
      <c r="Q16" s="76"/>
      <c r="R16" s="76"/>
      <c r="S16" s="76"/>
      <c r="T16" s="76"/>
      <c r="U16" s="76"/>
      <c r="V16" s="76"/>
      <c r="W16" s="76"/>
      <c r="X16" s="72"/>
      <c r="Y16" s="72"/>
      <c r="Z16" s="72"/>
      <c r="AA16" s="72"/>
      <c r="AB16" s="72"/>
      <c r="AC16" s="72"/>
      <c r="AD16" s="72"/>
      <c r="AE16" s="72"/>
      <c r="AF16" s="72"/>
      <c r="AG16" s="93"/>
    </row>
    <row r="17" spans="1:33" s="83" customFormat="1" ht="15.75" x14ac:dyDescent="0.25">
      <c r="A17" s="82"/>
      <c r="B17" s="97" t="s">
        <v>144</v>
      </c>
      <c r="C17" s="97" t="s">
        <v>10</v>
      </c>
      <c r="D17" s="97" t="s">
        <v>148</v>
      </c>
      <c r="E17" s="97" t="s">
        <v>147</v>
      </c>
      <c r="F17" s="98" t="s">
        <v>145</v>
      </c>
      <c r="G17" s="99" t="s">
        <v>149</v>
      </c>
      <c r="H17" s="99" t="s">
        <v>180</v>
      </c>
      <c r="I17" s="99" t="s">
        <v>181</v>
      </c>
      <c r="J17" s="221" t="s">
        <v>190</v>
      </c>
      <c r="K17" s="100" t="s">
        <v>150</v>
      </c>
      <c r="L17" s="100" t="s">
        <v>152</v>
      </c>
      <c r="M17" s="100" t="s">
        <v>153</v>
      </c>
      <c r="N17" s="101" t="s">
        <v>185</v>
      </c>
      <c r="O17" s="101" t="str">
        <f>IF(Template!H30 = "","Total Sand",Template!H30)</f>
        <v>Total Sand</v>
      </c>
      <c r="P17" s="101" t="str">
        <f>IF(Template!H35 = "","Total Sand",Template!H35)</f>
        <v>Total Sand</v>
      </c>
      <c r="Q17" s="101" t="str">
        <f>IF(Template!H40 = "","Total Sand",Template!H40)</f>
        <v>Total Sand</v>
      </c>
      <c r="R17" s="101" t="s">
        <v>155</v>
      </c>
      <c r="S17" s="97" t="s">
        <v>158</v>
      </c>
      <c r="T17" s="97" t="s">
        <v>193</v>
      </c>
      <c r="U17" s="97" t="s">
        <v>194</v>
      </c>
      <c r="V17" s="97" t="s">
        <v>196</v>
      </c>
      <c r="W17" s="101" t="s">
        <v>191</v>
      </c>
      <c r="X17" s="101" t="s">
        <v>162</v>
      </c>
      <c r="Y17" s="101" t="s">
        <v>163</v>
      </c>
      <c r="Z17" s="101" t="s">
        <v>168</v>
      </c>
      <c r="AA17" s="97" t="s">
        <v>102</v>
      </c>
      <c r="AB17" s="97" t="s">
        <v>169</v>
      </c>
      <c r="AC17" s="97" t="s">
        <v>103</v>
      </c>
      <c r="AD17" s="97" t="s">
        <v>170</v>
      </c>
      <c r="AE17" s="97" t="s">
        <v>165</v>
      </c>
      <c r="AF17" s="97" t="s">
        <v>197</v>
      </c>
      <c r="AG17" s="94"/>
    </row>
    <row r="18" spans="1:33" s="83" customFormat="1" ht="16.5" thickBot="1" x14ac:dyDescent="0.3">
      <c r="A18" s="82"/>
      <c r="B18" s="102" t="s">
        <v>157</v>
      </c>
      <c r="C18" s="103" t="s">
        <v>156</v>
      </c>
      <c r="D18" s="104" t="s">
        <v>146</v>
      </c>
      <c r="E18" s="105" t="s">
        <v>146</v>
      </c>
      <c r="F18" s="105" t="s">
        <v>146</v>
      </c>
      <c r="G18" s="105" t="s">
        <v>146</v>
      </c>
      <c r="H18" s="105" t="s">
        <v>146</v>
      </c>
      <c r="I18" s="105" t="s">
        <v>146</v>
      </c>
      <c r="J18" s="105" t="s">
        <v>146</v>
      </c>
      <c r="K18" s="106" t="s">
        <v>151</v>
      </c>
      <c r="L18" s="106" t="s">
        <v>151</v>
      </c>
      <c r="M18" s="106" t="s">
        <v>98</v>
      </c>
      <c r="N18" s="106" t="s">
        <v>98</v>
      </c>
      <c r="O18" s="106" t="s">
        <v>154</v>
      </c>
      <c r="P18" s="106" t="s">
        <v>154</v>
      </c>
      <c r="Q18" s="106" t="s">
        <v>154</v>
      </c>
      <c r="R18" s="106" t="s">
        <v>98</v>
      </c>
      <c r="S18" s="106" t="s">
        <v>159</v>
      </c>
      <c r="T18" s="106" t="s">
        <v>195</v>
      </c>
      <c r="U18" s="106" t="s">
        <v>195</v>
      </c>
      <c r="V18" s="106" t="s">
        <v>143</v>
      </c>
      <c r="W18" s="106" t="s">
        <v>161</v>
      </c>
      <c r="X18" s="106" t="s">
        <v>143</v>
      </c>
      <c r="Y18" s="106" t="s">
        <v>164</v>
      </c>
      <c r="Z18" s="106" t="s">
        <v>98</v>
      </c>
      <c r="AA18" s="102" t="s">
        <v>164</v>
      </c>
      <c r="AB18" s="102" t="s">
        <v>98</v>
      </c>
      <c r="AC18" s="102" t="s">
        <v>164</v>
      </c>
      <c r="AD18" s="102" t="s">
        <v>98</v>
      </c>
      <c r="AE18" s="102" t="s">
        <v>166</v>
      </c>
      <c r="AF18" s="102" t="s">
        <v>98</v>
      </c>
      <c r="AG18" s="94"/>
    </row>
    <row r="19" spans="1:33" s="88" customFormat="1" ht="15" x14ac:dyDescent="0.2">
      <c r="A19" s="59"/>
      <c r="B19" s="112"/>
      <c r="C19" s="119"/>
      <c r="D19" s="137"/>
      <c r="E19" s="137"/>
      <c r="F19" s="137"/>
      <c r="G19" s="137"/>
      <c r="H19" s="137"/>
      <c r="I19" s="137"/>
      <c r="J19" s="138" t="str">
        <f>IF(OR(H19="",G19=""),"",H19-G19)</f>
        <v/>
      </c>
      <c r="K19" s="140"/>
      <c r="L19" s="140"/>
      <c r="M19" s="143"/>
      <c r="N19" s="143"/>
      <c r="O19" s="143"/>
      <c r="P19" s="143"/>
      <c r="Q19" s="143"/>
      <c r="R19" s="143"/>
      <c r="S19" s="146"/>
      <c r="T19" s="146"/>
      <c r="U19" s="146"/>
      <c r="V19" s="146"/>
      <c r="W19" s="113"/>
      <c r="X19" s="113"/>
      <c r="Y19" s="113"/>
      <c r="Z19" s="143"/>
      <c r="AA19" s="112"/>
      <c r="AB19" s="143"/>
      <c r="AC19" s="112"/>
      <c r="AD19" s="143"/>
      <c r="AE19" s="143"/>
      <c r="AF19" s="112"/>
      <c r="AG19" s="60"/>
    </row>
    <row r="20" spans="1:33" s="88" customFormat="1" ht="15.75" customHeight="1" x14ac:dyDescent="0.2">
      <c r="A20" s="59"/>
      <c r="B20" s="114"/>
      <c r="C20" s="120"/>
      <c r="D20" s="138"/>
      <c r="E20" s="138"/>
      <c r="F20" s="138"/>
      <c r="G20" s="138"/>
      <c r="H20" s="138"/>
      <c r="I20" s="138"/>
      <c r="J20" s="138" t="str">
        <f>IF(OR(H20="",G20=""),"",H20-G20)</f>
        <v/>
      </c>
      <c r="K20" s="141"/>
      <c r="L20" s="141"/>
      <c r="M20" s="144"/>
      <c r="N20" s="144"/>
      <c r="O20" s="144"/>
      <c r="P20" s="144"/>
      <c r="Q20" s="144"/>
      <c r="R20" s="144"/>
      <c r="S20" s="147"/>
      <c r="T20" s="147"/>
      <c r="U20" s="147"/>
      <c r="V20" s="147"/>
      <c r="W20" s="115"/>
      <c r="X20" s="115"/>
      <c r="Y20" s="115"/>
      <c r="Z20" s="144"/>
      <c r="AA20" s="114"/>
      <c r="AB20" s="144"/>
      <c r="AC20" s="114"/>
      <c r="AD20" s="144"/>
      <c r="AE20" s="144"/>
      <c r="AF20" s="114"/>
      <c r="AG20" s="60"/>
    </row>
    <row r="21" spans="1:33" s="88" customFormat="1" ht="15" x14ac:dyDescent="0.2">
      <c r="A21" s="59"/>
      <c r="B21" s="114"/>
      <c r="C21" s="114"/>
      <c r="D21" s="138"/>
      <c r="E21" s="138"/>
      <c r="F21" s="138"/>
      <c r="G21" s="138"/>
      <c r="H21" s="138"/>
      <c r="I21" s="138"/>
      <c r="J21" s="138" t="str">
        <f t="shared" ref="J21:J84" si="0">IF(OR(H21="",G21=""),"",H21-G21)</f>
        <v/>
      </c>
      <c r="K21" s="141"/>
      <c r="L21" s="141"/>
      <c r="M21" s="144"/>
      <c r="N21" s="144"/>
      <c r="O21" s="144"/>
      <c r="P21" s="144"/>
      <c r="Q21" s="144"/>
      <c r="R21" s="144"/>
      <c r="S21" s="147"/>
      <c r="T21" s="147"/>
      <c r="U21" s="147"/>
      <c r="V21" s="147"/>
      <c r="W21" s="115"/>
      <c r="X21" s="115"/>
      <c r="Y21" s="115"/>
      <c r="Z21" s="144"/>
      <c r="AA21" s="114"/>
      <c r="AB21" s="144"/>
      <c r="AC21" s="114"/>
      <c r="AD21" s="144"/>
      <c r="AE21" s="144"/>
      <c r="AF21" s="114"/>
      <c r="AG21" s="60"/>
    </row>
    <row r="22" spans="1:33" s="88" customFormat="1" ht="15" x14ac:dyDescent="0.2">
      <c r="A22" s="59"/>
      <c r="B22" s="114"/>
      <c r="C22" s="114"/>
      <c r="D22" s="138"/>
      <c r="E22" s="138"/>
      <c r="F22" s="138"/>
      <c r="G22" s="138"/>
      <c r="H22" s="138"/>
      <c r="I22" s="138"/>
      <c r="J22" s="138" t="str">
        <f t="shared" si="0"/>
        <v/>
      </c>
      <c r="K22" s="141"/>
      <c r="L22" s="141"/>
      <c r="M22" s="144"/>
      <c r="N22" s="144"/>
      <c r="O22" s="144"/>
      <c r="P22" s="144"/>
      <c r="Q22" s="144"/>
      <c r="R22" s="144"/>
      <c r="S22" s="147"/>
      <c r="T22" s="147"/>
      <c r="U22" s="147"/>
      <c r="V22" s="147"/>
      <c r="W22" s="115"/>
      <c r="X22" s="115"/>
      <c r="Y22" s="115"/>
      <c r="Z22" s="144"/>
      <c r="AA22" s="114"/>
      <c r="AB22" s="144"/>
      <c r="AC22" s="114"/>
      <c r="AD22" s="144"/>
      <c r="AE22" s="144"/>
      <c r="AF22" s="114"/>
      <c r="AG22" s="60"/>
    </row>
    <row r="23" spans="1:33" s="88" customFormat="1" ht="15" x14ac:dyDescent="0.2">
      <c r="A23" s="59"/>
      <c r="B23" s="114"/>
      <c r="C23" s="114"/>
      <c r="D23" s="138"/>
      <c r="E23" s="138"/>
      <c r="F23" s="138"/>
      <c r="G23" s="138"/>
      <c r="H23" s="138"/>
      <c r="I23" s="138"/>
      <c r="J23" s="138" t="str">
        <f t="shared" si="0"/>
        <v/>
      </c>
      <c r="K23" s="141"/>
      <c r="L23" s="141"/>
      <c r="M23" s="144"/>
      <c r="N23" s="144"/>
      <c r="O23" s="144"/>
      <c r="P23" s="144"/>
      <c r="Q23" s="144"/>
      <c r="R23" s="144"/>
      <c r="S23" s="147"/>
      <c r="T23" s="147"/>
      <c r="U23" s="147"/>
      <c r="V23" s="147"/>
      <c r="W23" s="115"/>
      <c r="X23" s="115"/>
      <c r="Y23" s="115"/>
      <c r="Z23" s="144"/>
      <c r="AA23" s="114"/>
      <c r="AB23" s="144"/>
      <c r="AC23" s="114"/>
      <c r="AD23" s="144"/>
      <c r="AE23" s="144"/>
      <c r="AF23" s="114"/>
      <c r="AG23" s="60"/>
    </row>
    <row r="24" spans="1:33" s="88" customFormat="1" ht="15" x14ac:dyDescent="0.2">
      <c r="A24" s="59"/>
      <c r="B24" s="114"/>
      <c r="C24" s="114"/>
      <c r="D24" s="138"/>
      <c r="E24" s="138"/>
      <c r="F24" s="138"/>
      <c r="G24" s="138"/>
      <c r="H24" s="138"/>
      <c r="I24" s="138"/>
      <c r="J24" s="138" t="str">
        <f t="shared" si="0"/>
        <v/>
      </c>
      <c r="K24" s="141"/>
      <c r="L24" s="141"/>
      <c r="M24" s="144"/>
      <c r="N24" s="144"/>
      <c r="O24" s="144"/>
      <c r="P24" s="144"/>
      <c r="Q24" s="144"/>
      <c r="R24" s="144"/>
      <c r="S24" s="147"/>
      <c r="T24" s="147"/>
      <c r="U24" s="147"/>
      <c r="V24" s="147"/>
      <c r="W24" s="115"/>
      <c r="X24" s="115"/>
      <c r="Y24" s="115"/>
      <c r="Z24" s="144"/>
      <c r="AA24" s="114"/>
      <c r="AB24" s="144"/>
      <c r="AC24" s="114"/>
      <c r="AD24" s="144"/>
      <c r="AE24" s="144"/>
      <c r="AF24" s="114"/>
      <c r="AG24" s="60"/>
    </row>
    <row r="25" spans="1:33" s="88" customFormat="1" ht="15" x14ac:dyDescent="0.2">
      <c r="A25" s="59"/>
      <c r="B25" s="114"/>
      <c r="C25" s="114"/>
      <c r="D25" s="138"/>
      <c r="E25" s="138"/>
      <c r="F25" s="138"/>
      <c r="G25" s="138"/>
      <c r="H25" s="138"/>
      <c r="I25" s="138"/>
      <c r="J25" s="138" t="str">
        <f t="shared" si="0"/>
        <v/>
      </c>
      <c r="K25" s="141"/>
      <c r="L25" s="141"/>
      <c r="M25" s="144"/>
      <c r="N25" s="144"/>
      <c r="O25" s="144"/>
      <c r="P25" s="144"/>
      <c r="Q25" s="144"/>
      <c r="R25" s="144"/>
      <c r="S25" s="147"/>
      <c r="T25" s="147"/>
      <c r="U25" s="147"/>
      <c r="V25" s="147"/>
      <c r="W25" s="115"/>
      <c r="X25" s="115"/>
      <c r="Y25" s="115"/>
      <c r="Z25" s="144"/>
      <c r="AA25" s="114"/>
      <c r="AB25" s="144"/>
      <c r="AC25" s="114"/>
      <c r="AD25" s="144"/>
      <c r="AE25" s="144"/>
      <c r="AF25" s="114"/>
      <c r="AG25" s="60"/>
    </row>
    <row r="26" spans="1:33" s="88" customFormat="1" ht="15" x14ac:dyDescent="0.2">
      <c r="A26" s="59"/>
      <c r="B26" s="114"/>
      <c r="C26" s="114"/>
      <c r="D26" s="138"/>
      <c r="E26" s="138"/>
      <c r="F26" s="138"/>
      <c r="G26" s="138"/>
      <c r="H26" s="138"/>
      <c r="I26" s="138"/>
      <c r="J26" s="138" t="str">
        <f t="shared" si="0"/>
        <v/>
      </c>
      <c r="K26" s="141"/>
      <c r="L26" s="141"/>
      <c r="M26" s="144"/>
      <c r="N26" s="144"/>
      <c r="O26" s="144"/>
      <c r="P26" s="144"/>
      <c r="Q26" s="144"/>
      <c r="R26" s="144"/>
      <c r="S26" s="147"/>
      <c r="T26" s="147"/>
      <c r="U26" s="147"/>
      <c r="V26" s="147"/>
      <c r="W26" s="115"/>
      <c r="X26" s="115"/>
      <c r="Y26" s="115"/>
      <c r="Z26" s="144"/>
      <c r="AA26" s="114"/>
      <c r="AB26" s="144"/>
      <c r="AC26" s="114"/>
      <c r="AD26" s="144"/>
      <c r="AE26" s="144"/>
      <c r="AF26" s="114"/>
      <c r="AG26" s="60"/>
    </row>
    <row r="27" spans="1:33" s="88" customFormat="1" ht="15" x14ac:dyDescent="0.2">
      <c r="A27" s="59"/>
      <c r="B27" s="114"/>
      <c r="C27" s="114"/>
      <c r="D27" s="138"/>
      <c r="E27" s="138"/>
      <c r="F27" s="138"/>
      <c r="G27" s="138"/>
      <c r="H27" s="138"/>
      <c r="I27" s="138"/>
      <c r="J27" s="138" t="str">
        <f t="shared" si="0"/>
        <v/>
      </c>
      <c r="K27" s="141"/>
      <c r="L27" s="141"/>
      <c r="M27" s="144"/>
      <c r="N27" s="144"/>
      <c r="O27" s="144"/>
      <c r="P27" s="144"/>
      <c r="Q27" s="144"/>
      <c r="R27" s="144"/>
      <c r="S27" s="147"/>
      <c r="T27" s="147"/>
      <c r="U27" s="147"/>
      <c r="V27" s="147"/>
      <c r="W27" s="115"/>
      <c r="X27" s="115"/>
      <c r="Y27" s="115"/>
      <c r="Z27" s="144"/>
      <c r="AA27" s="114"/>
      <c r="AB27" s="144"/>
      <c r="AC27" s="114"/>
      <c r="AD27" s="144"/>
      <c r="AE27" s="144"/>
      <c r="AF27" s="114"/>
      <c r="AG27" s="60"/>
    </row>
    <row r="28" spans="1:33" s="88" customFormat="1" ht="15" x14ac:dyDescent="0.2">
      <c r="A28" s="59"/>
      <c r="B28" s="114"/>
      <c r="C28" s="114"/>
      <c r="D28" s="138"/>
      <c r="E28" s="138"/>
      <c r="F28" s="138"/>
      <c r="G28" s="138"/>
      <c r="H28" s="138"/>
      <c r="I28" s="138"/>
      <c r="J28" s="138" t="str">
        <f t="shared" si="0"/>
        <v/>
      </c>
      <c r="K28" s="141"/>
      <c r="L28" s="141"/>
      <c r="M28" s="144"/>
      <c r="N28" s="144"/>
      <c r="O28" s="144"/>
      <c r="P28" s="144"/>
      <c r="Q28" s="144"/>
      <c r="R28" s="144"/>
      <c r="S28" s="147"/>
      <c r="T28" s="147"/>
      <c r="U28" s="147"/>
      <c r="V28" s="147"/>
      <c r="W28" s="115"/>
      <c r="X28" s="115"/>
      <c r="Y28" s="115"/>
      <c r="Z28" s="144"/>
      <c r="AA28" s="114"/>
      <c r="AB28" s="144"/>
      <c r="AC28" s="114"/>
      <c r="AD28" s="144"/>
      <c r="AE28" s="144"/>
      <c r="AF28" s="114"/>
      <c r="AG28" s="60"/>
    </row>
    <row r="29" spans="1:33" s="88" customFormat="1" ht="15" x14ac:dyDescent="0.2">
      <c r="A29" s="59"/>
      <c r="B29" s="114"/>
      <c r="C29" s="114"/>
      <c r="D29" s="138"/>
      <c r="E29" s="138"/>
      <c r="F29" s="138"/>
      <c r="G29" s="138"/>
      <c r="H29" s="138"/>
      <c r="I29" s="138"/>
      <c r="J29" s="138" t="str">
        <f t="shared" si="0"/>
        <v/>
      </c>
      <c r="K29" s="141"/>
      <c r="L29" s="141"/>
      <c r="M29" s="144"/>
      <c r="N29" s="144"/>
      <c r="O29" s="144"/>
      <c r="P29" s="144"/>
      <c r="Q29" s="144"/>
      <c r="R29" s="144"/>
      <c r="S29" s="147"/>
      <c r="T29" s="147"/>
      <c r="U29" s="147"/>
      <c r="V29" s="147"/>
      <c r="W29" s="115"/>
      <c r="X29" s="115"/>
      <c r="Y29" s="115"/>
      <c r="Z29" s="144"/>
      <c r="AA29" s="114"/>
      <c r="AB29" s="144"/>
      <c r="AC29" s="114"/>
      <c r="AD29" s="144"/>
      <c r="AE29" s="144"/>
      <c r="AF29" s="114"/>
      <c r="AG29" s="60"/>
    </row>
    <row r="30" spans="1:33" s="88" customFormat="1" ht="15" x14ac:dyDescent="0.2">
      <c r="A30" s="59"/>
      <c r="B30" s="114"/>
      <c r="C30" s="114"/>
      <c r="D30" s="138"/>
      <c r="E30" s="138"/>
      <c r="F30" s="138"/>
      <c r="G30" s="138"/>
      <c r="H30" s="138"/>
      <c r="I30" s="138"/>
      <c r="J30" s="138" t="str">
        <f t="shared" si="0"/>
        <v/>
      </c>
      <c r="K30" s="141"/>
      <c r="L30" s="141"/>
      <c r="M30" s="144"/>
      <c r="N30" s="144"/>
      <c r="O30" s="144"/>
      <c r="P30" s="144"/>
      <c r="Q30" s="144"/>
      <c r="R30" s="144"/>
      <c r="S30" s="147"/>
      <c r="T30" s="147"/>
      <c r="U30" s="147"/>
      <c r="V30" s="147"/>
      <c r="W30" s="115"/>
      <c r="X30" s="115"/>
      <c r="Y30" s="115"/>
      <c r="Z30" s="144"/>
      <c r="AA30" s="114"/>
      <c r="AB30" s="144"/>
      <c r="AC30" s="114"/>
      <c r="AD30" s="144"/>
      <c r="AE30" s="144"/>
      <c r="AF30" s="114"/>
      <c r="AG30" s="60"/>
    </row>
    <row r="31" spans="1:33" s="88" customFormat="1" ht="15" x14ac:dyDescent="0.2">
      <c r="A31" s="59"/>
      <c r="B31" s="114"/>
      <c r="C31" s="114"/>
      <c r="D31" s="138"/>
      <c r="E31" s="138"/>
      <c r="F31" s="138"/>
      <c r="G31" s="138"/>
      <c r="H31" s="138"/>
      <c r="I31" s="138"/>
      <c r="J31" s="138" t="str">
        <f t="shared" si="0"/>
        <v/>
      </c>
      <c r="K31" s="141"/>
      <c r="L31" s="141"/>
      <c r="M31" s="144"/>
      <c r="N31" s="144"/>
      <c r="O31" s="144"/>
      <c r="P31" s="144"/>
      <c r="Q31" s="144"/>
      <c r="R31" s="144"/>
      <c r="S31" s="147"/>
      <c r="T31" s="147"/>
      <c r="U31" s="147"/>
      <c r="V31" s="147"/>
      <c r="W31" s="115"/>
      <c r="X31" s="115"/>
      <c r="Y31" s="115"/>
      <c r="Z31" s="144"/>
      <c r="AA31" s="114"/>
      <c r="AB31" s="144"/>
      <c r="AC31" s="114"/>
      <c r="AD31" s="144"/>
      <c r="AE31" s="144"/>
      <c r="AF31" s="114"/>
      <c r="AG31" s="60"/>
    </row>
    <row r="32" spans="1:33" s="89" customFormat="1" ht="15" x14ac:dyDescent="0.2">
      <c r="A32" s="59"/>
      <c r="B32" s="114"/>
      <c r="C32" s="114"/>
      <c r="D32" s="138"/>
      <c r="E32" s="138"/>
      <c r="F32" s="138"/>
      <c r="G32" s="138"/>
      <c r="H32" s="138"/>
      <c r="I32" s="138"/>
      <c r="J32" s="138" t="str">
        <f t="shared" si="0"/>
        <v/>
      </c>
      <c r="K32" s="141"/>
      <c r="L32" s="141"/>
      <c r="M32" s="144"/>
      <c r="N32" s="144"/>
      <c r="O32" s="144"/>
      <c r="P32" s="144"/>
      <c r="Q32" s="144"/>
      <c r="R32" s="144"/>
      <c r="S32" s="147"/>
      <c r="T32" s="147"/>
      <c r="U32" s="147"/>
      <c r="V32" s="147"/>
      <c r="W32" s="115"/>
      <c r="X32" s="115"/>
      <c r="Y32" s="115"/>
      <c r="Z32" s="144"/>
      <c r="AA32" s="114"/>
      <c r="AB32" s="144"/>
      <c r="AC32" s="114"/>
      <c r="AD32" s="144"/>
      <c r="AE32" s="144"/>
      <c r="AF32" s="114"/>
      <c r="AG32" s="60"/>
    </row>
    <row r="33" spans="1:33" s="90" customFormat="1" ht="15.75" x14ac:dyDescent="0.2">
      <c r="A33" s="59"/>
      <c r="B33" s="114"/>
      <c r="C33" s="114"/>
      <c r="D33" s="138"/>
      <c r="E33" s="138"/>
      <c r="F33" s="138"/>
      <c r="G33" s="138"/>
      <c r="H33" s="138"/>
      <c r="I33" s="138"/>
      <c r="J33" s="138" t="str">
        <f t="shared" si="0"/>
        <v/>
      </c>
      <c r="K33" s="141"/>
      <c r="L33" s="141"/>
      <c r="M33" s="144"/>
      <c r="N33" s="144"/>
      <c r="O33" s="144"/>
      <c r="P33" s="144"/>
      <c r="Q33" s="144"/>
      <c r="R33" s="144"/>
      <c r="S33" s="147"/>
      <c r="T33" s="147"/>
      <c r="U33" s="147"/>
      <c r="V33" s="147"/>
      <c r="W33" s="115"/>
      <c r="X33" s="115"/>
      <c r="Y33" s="115"/>
      <c r="Z33" s="144"/>
      <c r="AA33" s="114"/>
      <c r="AB33" s="144"/>
      <c r="AC33" s="114"/>
      <c r="AD33" s="144"/>
      <c r="AE33" s="144"/>
      <c r="AF33" s="114"/>
      <c r="AG33" s="60"/>
    </row>
    <row r="34" spans="1:33" s="88" customFormat="1" ht="15" x14ac:dyDescent="0.2">
      <c r="A34" s="59"/>
      <c r="B34" s="114"/>
      <c r="C34" s="114"/>
      <c r="D34" s="138"/>
      <c r="E34" s="138"/>
      <c r="F34" s="138"/>
      <c r="G34" s="138"/>
      <c r="H34" s="138"/>
      <c r="I34" s="138"/>
      <c r="J34" s="138" t="str">
        <f t="shared" si="0"/>
        <v/>
      </c>
      <c r="K34" s="141"/>
      <c r="L34" s="141"/>
      <c r="M34" s="144"/>
      <c r="N34" s="144"/>
      <c r="O34" s="144"/>
      <c r="P34" s="144"/>
      <c r="Q34" s="144"/>
      <c r="R34" s="144"/>
      <c r="S34" s="147"/>
      <c r="T34" s="147"/>
      <c r="U34" s="147"/>
      <c r="V34" s="147"/>
      <c r="W34" s="115"/>
      <c r="X34" s="115"/>
      <c r="Y34" s="115"/>
      <c r="Z34" s="144"/>
      <c r="AA34" s="114"/>
      <c r="AB34" s="144"/>
      <c r="AC34" s="114"/>
      <c r="AD34" s="144"/>
      <c r="AE34" s="144"/>
      <c r="AF34" s="114"/>
      <c r="AG34" s="60"/>
    </row>
    <row r="35" spans="1:33" s="88" customFormat="1" ht="15" x14ac:dyDescent="0.2">
      <c r="A35" s="59"/>
      <c r="B35" s="114"/>
      <c r="C35" s="114"/>
      <c r="D35" s="138"/>
      <c r="E35" s="138"/>
      <c r="F35" s="138"/>
      <c r="G35" s="138"/>
      <c r="H35" s="138"/>
      <c r="I35" s="138"/>
      <c r="J35" s="138" t="str">
        <f t="shared" si="0"/>
        <v/>
      </c>
      <c r="K35" s="141"/>
      <c r="L35" s="141"/>
      <c r="M35" s="144"/>
      <c r="N35" s="144"/>
      <c r="O35" s="144"/>
      <c r="P35" s="144"/>
      <c r="Q35" s="144"/>
      <c r="R35" s="144"/>
      <c r="S35" s="147"/>
      <c r="T35" s="147"/>
      <c r="U35" s="147"/>
      <c r="V35" s="147"/>
      <c r="W35" s="115"/>
      <c r="X35" s="115"/>
      <c r="Y35" s="115"/>
      <c r="Z35" s="144"/>
      <c r="AA35" s="114"/>
      <c r="AB35" s="144"/>
      <c r="AC35" s="114"/>
      <c r="AD35" s="144"/>
      <c r="AE35" s="144"/>
      <c r="AF35" s="114"/>
      <c r="AG35" s="60"/>
    </row>
    <row r="36" spans="1:33" s="88" customFormat="1" ht="15" x14ac:dyDescent="0.2">
      <c r="A36" s="59"/>
      <c r="B36" s="114"/>
      <c r="C36" s="114"/>
      <c r="D36" s="138"/>
      <c r="E36" s="138"/>
      <c r="F36" s="138"/>
      <c r="G36" s="138"/>
      <c r="H36" s="138"/>
      <c r="I36" s="138"/>
      <c r="J36" s="138" t="str">
        <f t="shared" si="0"/>
        <v/>
      </c>
      <c r="K36" s="141"/>
      <c r="L36" s="141"/>
      <c r="M36" s="144"/>
      <c r="N36" s="144"/>
      <c r="O36" s="144"/>
      <c r="P36" s="144"/>
      <c r="Q36" s="144"/>
      <c r="R36" s="144"/>
      <c r="S36" s="147"/>
      <c r="T36" s="147"/>
      <c r="U36" s="147"/>
      <c r="V36" s="147"/>
      <c r="W36" s="115"/>
      <c r="X36" s="115"/>
      <c r="Y36" s="115"/>
      <c r="Z36" s="144"/>
      <c r="AA36" s="114"/>
      <c r="AB36" s="144"/>
      <c r="AC36" s="114"/>
      <c r="AD36" s="144"/>
      <c r="AE36" s="144"/>
      <c r="AF36" s="114"/>
      <c r="AG36" s="60"/>
    </row>
    <row r="37" spans="1:33" s="88" customFormat="1" ht="15" x14ac:dyDescent="0.2">
      <c r="A37" s="59"/>
      <c r="B37" s="114"/>
      <c r="C37" s="114"/>
      <c r="D37" s="138"/>
      <c r="E37" s="138"/>
      <c r="F37" s="138"/>
      <c r="G37" s="138"/>
      <c r="H37" s="138"/>
      <c r="I37" s="138"/>
      <c r="J37" s="138" t="str">
        <f t="shared" si="0"/>
        <v/>
      </c>
      <c r="K37" s="141"/>
      <c r="L37" s="141"/>
      <c r="M37" s="144"/>
      <c r="N37" s="144"/>
      <c r="O37" s="144"/>
      <c r="P37" s="144"/>
      <c r="Q37" s="144"/>
      <c r="R37" s="144"/>
      <c r="S37" s="147"/>
      <c r="T37" s="147"/>
      <c r="U37" s="147"/>
      <c r="V37" s="147"/>
      <c r="W37" s="115"/>
      <c r="X37" s="115"/>
      <c r="Y37" s="115"/>
      <c r="Z37" s="144"/>
      <c r="AA37" s="114"/>
      <c r="AB37" s="144"/>
      <c r="AC37" s="114"/>
      <c r="AD37" s="144"/>
      <c r="AE37" s="144"/>
      <c r="AF37" s="114"/>
      <c r="AG37" s="60"/>
    </row>
    <row r="38" spans="1:33" s="88" customFormat="1" ht="15" x14ac:dyDescent="0.2">
      <c r="A38" s="59"/>
      <c r="B38" s="114"/>
      <c r="C38" s="114"/>
      <c r="D38" s="138"/>
      <c r="E38" s="138"/>
      <c r="F38" s="138"/>
      <c r="G38" s="138"/>
      <c r="H38" s="138"/>
      <c r="I38" s="138"/>
      <c r="J38" s="138" t="str">
        <f t="shared" si="0"/>
        <v/>
      </c>
      <c r="K38" s="141"/>
      <c r="L38" s="141"/>
      <c r="M38" s="144"/>
      <c r="N38" s="144"/>
      <c r="O38" s="144"/>
      <c r="P38" s="144"/>
      <c r="Q38" s="144"/>
      <c r="R38" s="144"/>
      <c r="S38" s="147"/>
      <c r="T38" s="147"/>
      <c r="U38" s="147"/>
      <c r="V38" s="147"/>
      <c r="W38" s="115"/>
      <c r="X38" s="115"/>
      <c r="Y38" s="115"/>
      <c r="Z38" s="144"/>
      <c r="AA38" s="114"/>
      <c r="AB38" s="144"/>
      <c r="AC38" s="114"/>
      <c r="AD38" s="144"/>
      <c r="AE38" s="144"/>
      <c r="AF38" s="114"/>
      <c r="AG38" s="60"/>
    </row>
    <row r="39" spans="1:33" s="88" customFormat="1" ht="15" x14ac:dyDescent="0.2">
      <c r="A39" s="59"/>
      <c r="B39" s="114"/>
      <c r="C39" s="114"/>
      <c r="D39" s="138"/>
      <c r="E39" s="138"/>
      <c r="F39" s="138"/>
      <c r="G39" s="138"/>
      <c r="H39" s="138"/>
      <c r="I39" s="138"/>
      <c r="J39" s="138" t="str">
        <f t="shared" si="0"/>
        <v/>
      </c>
      <c r="K39" s="141"/>
      <c r="L39" s="141"/>
      <c r="M39" s="144"/>
      <c r="N39" s="144"/>
      <c r="O39" s="144"/>
      <c r="P39" s="144"/>
      <c r="Q39" s="144"/>
      <c r="R39" s="144"/>
      <c r="S39" s="147"/>
      <c r="T39" s="147"/>
      <c r="U39" s="147"/>
      <c r="V39" s="147"/>
      <c r="W39" s="115"/>
      <c r="X39" s="115"/>
      <c r="Y39" s="115"/>
      <c r="Z39" s="144"/>
      <c r="AA39" s="114"/>
      <c r="AB39" s="144"/>
      <c r="AC39" s="114"/>
      <c r="AD39" s="144"/>
      <c r="AE39" s="144"/>
      <c r="AF39" s="114"/>
      <c r="AG39" s="60"/>
    </row>
    <row r="40" spans="1:33" s="88" customFormat="1" ht="15" x14ac:dyDescent="0.2">
      <c r="A40" s="59"/>
      <c r="B40" s="114"/>
      <c r="C40" s="114"/>
      <c r="D40" s="138"/>
      <c r="E40" s="138"/>
      <c r="F40" s="138"/>
      <c r="G40" s="138"/>
      <c r="H40" s="138"/>
      <c r="I40" s="138"/>
      <c r="J40" s="138" t="str">
        <f t="shared" si="0"/>
        <v/>
      </c>
      <c r="K40" s="141"/>
      <c r="L40" s="141"/>
      <c r="M40" s="144"/>
      <c r="N40" s="144"/>
      <c r="O40" s="144"/>
      <c r="P40" s="144"/>
      <c r="Q40" s="144"/>
      <c r="R40" s="144"/>
      <c r="S40" s="147"/>
      <c r="T40" s="147"/>
      <c r="U40" s="147"/>
      <c r="V40" s="147"/>
      <c r="W40" s="115"/>
      <c r="X40" s="115"/>
      <c r="Y40" s="115"/>
      <c r="Z40" s="144"/>
      <c r="AA40" s="114"/>
      <c r="AB40" s="144"/>
      <c r="AC40" s="114"/>
      <c r="AD40" s="144"/>
      <c r="AE40" s="144"/>
      <c r="AF40" s="114"/>
      <c r="AG40" s="60"/>
    </row>
    <row r="41" spans="1:33" s="88" customFormat="1" ht="15" x14ac:dyDescent="0.2">
      <c r="A41" s="59"/>
      <c r="B41" s="114"/>
      <c r="C41" s="114"/>
      <c r="D41" s="138"/>
      <c r="E41" s="138"/>
      <c r="F41" s="138"/>
      <c r="G41" s="138"/>
      <c r="H41" s="138"/>
      <c r="I41" s="138"/>
      <c r="J41" s="138" t="str">
        <f t="shared" si="0"/>
        <v/>
      </c>
      <c r="K41" s="141"/>
      <c r="L41" s="141"/>
      <c r="M41" s="144"/>
      <c r="N41" s="144"/>
      <c r="O41" s="144"/>
      <c r="P41" s="144"/>
      <c r="Q41" s="144"/>
      <c r="R41" s="144"/>
      <c r="S41" s="147"/>
      <c r="T41" s="147"/>
      <c r="U41" s="147"/>
      <c r="V41" s="147"/>
      <c r="W41" s="115"/>
      <c r="X41" s="115"/>
      <c r="Y41" s="115"/>
      <c r="Z41" s="144"/>
      <c r="AA41" s="114"/>
      <c r="AB41" s="144"/>
      <c r="AC41" s="114"/>
      <c r="AD41" s="144"/>
      <c r="AE41" s="144"/>
      <c r="AF41" s="114"/>
      <c r="AG41" s="60"/>
    </row>
    <row r="42" spans="1:33" s="88" customFormat="1" ht="15" x14ac:dyDescent="0.2">
      <c r="A42" s="59"/>
      <c r="B42" s="114"/>
      <c r="C42" s="114"/>
      <c r="D42" s="138"/>
      <c r="E42" s="138"/>
      <c r="F42" s="138"/>
      <c r="G42" s="138"/>
      <c r="H42" s="138"/>
      <c r="I42" s="138"/>
      <c r="J42" s="138" t="str">
        <f t="shared" si="0"/>
        <v/>
      </c>
      <c r="K42" s="141"/>
      <c r="L42" s="141"/>
      <c r="M42" s="144"/>
      <c r="N42" s="144"/>
      <c r="O42" s="144"/>
      <c r="P42" s="144"/>
      <c r="Q42" s="144"/>
      <c r="R42" s="144"/>
      <c r="S42" s="147"/>
      <c r="T42" s="147"/>
      <c r="U42" s="147"/>
      <c r="V42" s="147"/>
      <c r="W42" s="115"/>
      <c r="X42" s="115"/>
      <c r="Y42" s="115"/>
      <c r="Z42" s="144"/>
      <c r="AA42" s="114"/>
      <c r="AB42" s="144"/>
      <c r="AC42" s="114"/>
      <c r="AD42" s="144"/>
      <c r="AE42" s="144"/>
      <c r="AF42" s="114"/>
      <c r="AG42" s="60"/>
    </row>
    <row r="43" spans="1:33" s="88" customFormat="1" ht="15" x14ac:dyDescent="0.2">
      <c r="A43" s="59"/>
      <c r="B43" s="114"/>
      <c r="C43" s="114"/>
      <c r="D43" s="138"/>
      <c r="E43" s="138"/>
      <c r="F43" s="138"/>
      <c r="G43" s="138"/>
      <c r="H43" s="138"/>
      <c r="I43" s="138"/>
      <c r="J43" s="138" t="str">
        <f t="shared" si="0"/>
        <v/>
      </c>
      <c r="K43" s="141"/>
      <c r="L43" s="141"/>
      <c r="M43" s="144"/>
      <c r="N43" s="144"/>
      <c r="O43" s="144"/>
      <c r="P43" s="144"/>
      <c r="Q43" s="144"/>
      <c r="R43" s="144"/>
      <c r="S43" s="147"/>
      <c r="T43" s="147"/>
      <c r="U43" s="147"/>
      <c r="V43" s="147"/>
      <c r="W43" s="115"/>
      <c r="X43" s="115"/>
      <c r="Y43" s="115"/>
      <c r="Z43" s="144"/>
      <c r="AA43" s="114"/>
      <c r="AB43" s="144"/>
      <c r="AC43" s="114"/>
      <c r="AD43" s="144"/>
      <c r="AE43" s="144"/>
      <c r="AF43" s="114"/>
      <c r="AG43" s="60"/>
    </row>
    <row r="44" spans="1:33" s="88" customFormat="1" ht="15" x14ac:dyDescent="0.2">
      <c r="A44" s="59"/>
      <c r="B44" s="114"/>
      <c r="C44" s="114"/>
      <c r="D44" s="138"/>
      <c r="E44" s="138"/>
      <c r="F44" s="138"/>
      <c r="G44" s="138"/>
      <c r="H44" s="138"/>
      <c r="I44" s="138"/>
      <c r="J44" s="138" t="str">
        <f t="shared" si="0"/>
        <v/>
      </c>
      <c r="K44" s="141"/>
      <c r="L44" s="141"/>
      <c r="M44" s="144"/>
      <c r="N44" s="144"/>
      <c r="O44" s="144"/>
      <c r="P44" s="144"/>
      <c r="Q44" s="144"/>
      <c r="R44" s="144"/>
      <c r="S44" s="147"/>
      <c r="T44" s="147"/>
      <c r="U44" s="147"/>
      <c r="V44" s="147"/>
      <c r="W44" s="115"/>
      <c r="X44" s="115"/>
      <c r="Y44" s="115"/>
      <c r="Z44" s="144"/>
      <c r="AA44" s="114"/>
      <c r="AB44" s="144"/>
      <c r="AC44" s="114"/>
      <c r="AD44" s="144"/>
      <c r="AE44" s="144"/>
      <c r="AF44" s="114"/>
      <c r="AG44" s="60"/>
    </row>
    <row r="45" spans="1:33" s="88" customFormat="1" ht="15" x14ac:dyDescent="0.2">
      <c r="A45" s="59"/>
      <c r="B45" s="114"/>
      <c r="C45" s="114"/>
      <c r="D45" s="138"/>
      <c r="E45" s="138"/>
      <c r="F45" s="138"/>
      <c r="G45" s="138"/>
      <c r="H45" s="138"/>
      <c r="I45" s="138"/>
      <c r="J45" s="138" t="str">
        <f t="shared" si="0"/>
        <v/>
      </c>
      <c r="K45" s="141"/>
      <c r="L45" s="141"/>
      <c r="M45" s="144"/>
      <c r="N45" s="144"/>
      <c r="O45" s="144"/>
      <c r="P45" s="144"/>
      <c r="Q45" s="144"/>
      <c r="R45" s="144"/>
      <c r="S45" s="147"/>
      <c r="T45" s="147"/>
      <c r="U45" s="147"/>
      <c r="V45" s="147"/>
      <c r="W45" s="115"/>
      <c r="X45" s="115"/>
      <c r="Y45" s="115"/>
      <c r="Z45" s="144"/>
      <c r="AA45" s="114"/>
      <c r="AB45" s="144"/>
      <c r="AC45" s="114"/>
      <c r="AD45" s="144"/>
      <c r="AE45" s="144"/>
      <c r="AF45" s="114"/>
      <c r="AG45" s="60"/>
    </row>
    <row r="46" spans="1:33" s="88" customFormat="1" ht="15" x14ac:dyDescent="0.2">
      <c r="A46" s="59"/>
      <c r="B46" s="114"/>
      <c r="C46" s="114"/>
      <c r="D46" s="138"/>
      <c r="E46" s="138"/>
      <c r="F46" s="138"/>
      <c r="G46" s="138"/>
      <c r="H46" s="138"/>
      <c r="I46" s="138"/>
      <c r="J46" s="138" t="str">
        <f t="shared" si="0"/>
        <v/>
      </c>
      <c r="K46" s="141"/>
      <c r="L46" s="141"/>
      <c r="M46" s="144"/>
      <c r="N46" s="144"/>
      <c r="O46" s="144"/>
      <c r="P46" s="144"/>
      <c r="Q46" s="144"/>
      <c r="R46" s="144"/>
      <c r="S46" s="147"/>
      <c r="T46" s="147"/>
      <c r="U46" s="147"/>
      <c r="V46" s="147"/>
      <c r="W46" s="115"/>
      <c r="X46" s="115"/>
      <c r="Y46" s="115"/>
      <c r="Z46" s="144"/>
      <c r="AA46" s="114"/>
      <c r="AB46" s="144"/>
      <c r="AC46" s="114"/>
      <c r="AD46" s="144"/>
      <c r="AE46" s="144"/>
      <c r="AF46" s="114"/>
      <c r="AG46" s="60"/>
    </row>
    <row r="47" spans="1:33" s="88" customFormat="1" ht="15" x14ac:dyDescent="0.2">
      <c r="A47" s="59"/>
      <c r="B47" s="114"/>
      <c r="C47" s="114"/>
      <c r="D47" s="138"/>
      <c r="E47" s="138"/>
      <c r="F47" s="138"/>
      <c r="G47" s="138"/>
      <c r="H47" s="138"/>
      <c r="I47" s="138"/>
      <c r="J47" s="138" t="str">
        <f t="shared" si="0"/>
        <v/>
      </c>
      <c r="K47" s="141"/>
      <c r="L47" s="141"/>
      <c r="M47" s="144"/>
      <c r="N47" s="144"/>
      <c r="O47" s="144"/>
      <c r="P47" s="144"/>
      <c r="Q47" s="144"/>
      <c r="R47" s="144"/>
      <c r="S47" s="147"/>
      <c r="T47" s="147"/>
      <c r="U47" s="147"/>
      <c r="V47" s="147"/>
      <c r="W47" s="115"/>
      <c r="X47" s="115"/>
      <c r="Y47" s="115"/>
      <c r="Z47" s="144"/>
      <c r="AA47" s="114"/>
      <c r="AB47" s="144"/>
      <c r="AC47" s="114"/>
      <c r="AD47" s="144"/>
      <c r="AE47" s="144"/>
      <c r="AF47" s="114"/>
      <c r="AG47" s="60"/>
    </row>
    <row r="48" spans="1:33" s="88" customFormat="1" ht="15" x14ac:dyDescent="0.2">
      <c r="A48" s="59"/>
      <c r="B48" s="114"/>
      <c r="C48" s="114"/>
      <c r="D48" s="138"/>
      <c r="E48" s="138"/>
      <c r="F48" s="138"/>
      <c r="G48" s="138"/>
      <c r="H48" s="138"/>
      <c r="I48" s="138"/>
      <c r="J48" s="138" t="str">
        <f t="shared" si="0"/>
        <v/>
      </c>
      <c r="K48" s="141"/>
      <c r="L48" s="141"/>
      <c r="M48" s="144"/>
      <c r="N48" s="144"/>
      <c r="O48" s="144"/>
      <c r="P48" s="144"/>
      <c r="Q48" s="144"/>
      <c r="R48" s="144"/>
      <c r="S48" s="147"/>
      <c r="T48" s="147"/>
      <c r="U48" s="147"/>
      <c r="V48" s="147"/>
      <c r="W48" s="115"/>
      <c r="X48" s="115"/>
      <c r="Y48" s="115"/>
      <c r="Z48" s="144"/>
      <c r="AA48" s="114"/>
      <c r="AB48" s="144"/>
      <c r="AC48" s="114"/>
      <c r="AD48" s="144"/>
      <c r="AE48" s="144"/>
      <c r="AF48" s="114"/>
      <c r="AG48" s="60"/>
    </row>
    <row r="49" spans="1:33" s="88" customFormat="1" ht="15" x14ac:dyDescent="0.2">
      <c r="A49" s="59"/>
      <c r="B49" s="114"/>
      <c r="C49" s="114"/>
      <c r="D49" s="138"/>
      <c r="E49" s="138"/>
      <c r="F49" s="138"/>
      <c r="G49" s="138"/>
      <c r="H49" s="138"/>
      <c r="I49" s="138"/>
      <c r="J49" s="138" t="str">
        <f t="shared" si="0"/>
        <v/>
      </c>
      <c r="K49" s="141"/>
      <c r="L49" s="141"/>
      <c r="M49" s="144"/>
      <c r="N49" s="144"/>
      <c r="O49" s="144"/>
      <c r="P49" s="144"/>
      <c r="Q49" s="144"/>
      <c r="R49" s="144"/>
      <c r="S49" s="147"/>
      <c r="T49" s="147"/>
      <c r="U49" s="147"/>
      <c r="V49" s="147"/>
      <c r="W49" s="115"/>
      <c r="X49" s="115"/>
      <c r="Y49" s="115"/>
      <c r="Z49" s="144"/>
      <c r="AA49" s="114"/>
      <c r="AB49" s="144"/>
      <c r="AC49" s="114"/>
      <c r="AD49" s="144"/>
      <c r="AE49" s="144"/>
      <c r="AF49" s="114"/>
      <c r="AG49" s="60"/>
    </row>
    <row r="50" spans="1:33" s="88" customFormat="1" ht="15" x14ac:dyDescent="0.2">
      <c r="A50" s="59"/>
      <c r="B50" s="114"/>
      <c r="C50" s="114"/>
      <c r="D50" s="138"/>
      <c r="E50" s="138"/>
      <c r="F50" s="138"/>
      <c r="G50" s="138"/>
      <c r="H50" s="138"/>
      <c r="I50" s="138"/>
      <c r="J50" s="138" t="str">
        <f t="shared" si="0"/>
        <v/>
      </c>
      <c r="K50" s="141"/>
      <c r="L50" s="141"/>
      <c r="M50" s="144"/>
      <c r="N50" s="144"/>
      <c r="O50" s="144"/>
      <c r="P50" s="144"/>
      <c r="Q50" s="144"/>
      <c r="R50" s="144"/>
      <c r="S50" s="147"/>
      <c r="T50" s="147"/>
      <c r="U50" s="147"/>
      <c r="V50" s="147"/>
      <c r="W50" s="115"/>
      <c r="X50" s="115"/>
      <c r="Y50" s="115"/>
      <c r="Z50" s="144"/>
      <c r="AA50" s="114"/>
      <c r="AB50" s="144"/>
      <c r="AC50" s="114"/>
      <c r="AD50" s="144"/>
      <c r="AE50" s="144"/>
      <c r="AF50" s="114"/>
      <c r="AG50" s="60"/>
    </row>
    <row r="51" spans="1:33" s="88" customFormat="1" ht="15" x14ac:dyDescent="0.2">
      <c r="A51" s="59"/>
      <c r="B51" s="114"/>
      <c r="C51" s="114"/>
      <c r="D51" s="138"/>
      <c r="E51" s="138"/>
      <c r="F51" s="138"/>
      <c r="G51" s="138"/>
      <c r="H51" s="138"/>
      <c r="I51" s="138"/>
      <c r="J51" s="138" t="str">
        <f t="shared" si="0"/>
        <v/>
      </c>
      <c r="K51" s="141"/>
      <c r="L51" s="141"/>
      <c r="M51" s="144"/>
      <c r="N51" s="144"/>
      <c r="O51" s="144"/>
      <c r="P51" s="144"/>
      <c r="Q51" s="144"/>
      <c r="R51" s="144"/>
      <c r="S51" s="147"/>
      <c r="T51" s="147"/>
      <c r="U51" s="147"/>
      <c r="V51" s="147"/>
      <c r="W51" s="115"/>
      <c r="X51" s="115"/>
      <c r="Y51" s="115"/>
      <c r="Z51" s="144"/>
      <c r="AA51" s="114"/>
      <c r="AB51" s="144"/>
      <c r="AC51" s="114"/>
      <c r="AD51" s="144"/>
      <c r="AE51" s="144"/>
      <c r="AF51" s="114"/>
      <c r="AG51" s="60"/>
    </row>
    <row r="52" spans="1:33" s="88" customFormat="1" ht="15" x14ac:dyDescent="0.2">
      <c r="A52" s="59"/>
      <c r="B52" s="114"/>
      <c r="C52" s="114"/>
      <c r="D52" s="138"/>
      <c r="E52" s="138"/>
      <c r="F52" s="138"/>
      <c r="G52" s="138"/>
      <c r="H52" s="138"/>
      <c r="I52" s="138"/>
      <c r="J52" s="138" t="str">
        <f t="shared" si="0"/>
        <v/>
      </c>
      <c r="K52" s="141"/>
      <c r="L52" s="141"/>
      <c r="M52" s="144"/>
      <c r="N52" s="144"/>
      <c r="O52" s="144"/>
      <c r="P52" s="144"/>
      <c r="Q52" s="144"/>
      <c r="R52" s="144"/>
      <c r="S52" s="147"/>
      <c r="T52" s="147"/>
      <c r="U52" s="147"/>
      <c r="V52" s="147"/>
      <c r="W52" s="115"/>
      <c r="X52" s="115"/>
      <c r="Y52" s="115"/>
      <c r="Z52" s="144"/>
      <c r="AA52" s="114"/>
      <c r="AB52" s="144"/>
      <c r="AC52" s="114"/>
      <c r="AD52" s="144"/>
      <c r="AE52" s="144"/>
      <c r="AF52" s="114"/>
      <c r="AG52" s="60"/>
    </row>
    <row r="53" spans="1:33" s="88" customFormat="1" ht="15" x14ac:dyDescent="0.2">
      <c r="A53" s="59"/>
      <c r="B53" s="114"/>
      <c r="C53" s="114"/>
      <c r="D53" s="138"/>
      <c r="E53" s="138"/>
      <c r="F53" s="138"/>
      <c r="G53" s="138"/>
      <c r="H53" s="138"/>
      <c r="I53" s="138"/>
      <c r="J53" s="138" t="str">
        <f t="shared" si="0"/>
        <v/>
      </c>
      <c r="K53" s="141"/>
      <c r="L53" s="141"/>
      <c r="M53" s="144"/>
      <c r="N53" s="144"/>
      <c r="O53" s="144"/>
      <c r="P53" s="144"/>
      <c r="Q53" s="144"/>
      <c r="R53" s="144"/>
      <c r="S53" s="147"/>
      <c r="T53" s="147"/>
      <c r="U53" s="147"/>
      <c r="V53" s="147"/>
      <c r="W53" s="115"/>
      <c r="X53" s="115"/>
      <c r="Y53" s="115"/>
      <c r="Z53" s="144"/>
      <c r="AA53" s="114"/>
      <c r="AB53" s="144"/>
      <c r="AC53" s="114"/>
      <c r="AD53" s="144"/>
      <c r="AE53" s="144"/>
      <c r="AF53" s="114"/>
      <c r="AG53" s="60"/>
    </row>
    <row r="54" spans="1:33" s="88" customFormat="1" ht="15" x14ac:dyDescent="0.2">
      <c r="A54" s="59"/>
      <c r="B54" s="114"/>
      <c r="C54" s="114"/>
      <c r="D54" s="138"/>
      <c r="E54" s="138"/>
      <c r="F54" s="138"/>
      <c r="G54" s="138"/>
      <c r="H54" s="138"/>
      <c r="I54" s="138"/>
      <c r="J54" s="138" t="str">
        <f t="shared" si="0"/>
        <v/>
      </c>
      <c r="K54" s="141"/>
      <c r="L54" s="141"/>
      <c r="M54" s="144"/>
      <c r="N54" s="144"/>
      <c r="O54" s="144"/>
      <c r="P54" s="144"/>
      <c r="Q54" s="144"/>
      <c r="R54" s="144"/>
      <c r="S54" s="147"/>
      <c r="T54" s="147"/>
      <c r="U54" s="147"/>
      <c r="V54" s="147"/>
      <c r="W54" s="115"/>
      <c r="X54" s="115"/>
      <c r="Y54" s="115"/>
      <c r="Z54" s="144"/>
      <c r="AA54" s="114"/>
      <c r="AB54" s="144"/>
      <c r="AC54" s="114"/>
      <c r="AD54" s="144"/>
      <c r="AE54" s="144"/>
      <c r="AF54" s="114"/>
      <c r="AG54" s="60"/>
    </row>
    <row r="55" spans="1:33" s="88" customFormat="1" ht="15" x14ac:dyDescent="0.2">
      <c r="A55" s="59"/>
      <c r="B55" s="114"/>
      <c r="C55" s="114"/>
      <c r="D55" s="138"/>
      <c r="E55" s="138"/>
      <c r="F55" s="138"/>
      <c r="G55" s="138"/>
      <c r="H55" s="138"/>
      <c r="I55" s="138"/>
      <c r="J55" s="138" t="str">
        <f t="shared" si="0"/>
        <v/>
      </c>
      <c r="K55" s="141"/>
      <c r="L55" s="141"/>
      <c r="M55" s="144"/>
      <c r="N55" s="144"/>
      <c r="O55" s="144"/>
      <c r="P55" s="144"/>
      <c r="Q55" s="144"/>
      <c r="R55" s="144"/>
      <c r="S55" s="147"/>
      <c r="T55" s="147"/>
      <c r="U55" s="147"/>
      <c r="V55" s="147"/>
      <c r="W55" s="115"/>
      <c r="X55" s="115"/>
      <c r="Y55" s="115"/>
      <c r="Z55" s="144"/>
      <c r="AA55" s="114"/>
      <c r="AB55" s="144"/>
      <c r="AC55" s="114"/>
      <c r="AD55" s="144"/>
      <c r="AE55" s="144"/>
      <c r="AF55" s="114"/>
      <c r="AG55" s="60"/>
    </row>
    <row r="56" spans="1:33" s="88" customFormat="1" ht="15" x14ac:dyDescent="0.2">
      <c r="A56" s="59"/>
      <c r="B56" s="114"/>
      <c r="C56" s="114"/>
      <c r="D56" s="138"/>
      <c r="E56" s="138"/>
      <c r="F56" s="138"/>
      <c r="G56" s="138"/>
      <c r="H56" s="138"/>
      <c r="I56" s="138"/>
      <c r="J56" s="138" t="str">
        <f t="shared" si="0"/>
        <v/>
      </c>
      <c r="K56" s="141"/>
      <c r="L56" s="141"/>
      <c r="M56" s="144"/>
      <c r="N56" s="144"/>
      <c r="O56" s="144"/>
      <c r="P56" s="144"/>
      <c r="Q56" s="144"/>
      <c r="R56" s="144"/>
      <c r="S56" s="147"/>
      <c r="T56" s="147"/>
      <c r="U56" s="147"/>
      <c r="V56" s="147"/>
      <c r="W56" s="115"/>
      <c r="X56" s="115"/>
      <c r="Y56" s="115"/>
      <c r="Z56" s="144"/>
      <c r="AA56" s="114"/>
      <c r="AB56" s="144"/>
      <c r="AC56" s="114"/>
      <c r="AD56" s="144"/>
      <c r="AE56" s="144"/>
      <c r="AF56" s="114"/>
      <c r="AG56" s="60"/>
    </row>
    <row r="57" spans="1:33" s="88" customFormat="1" ht="15" x14ac:dyDescent="0.2">
      <c r="A57" s="59"/>
      <c r="B57" s="114"/>
      <c r="C57" s="114"/>
      <c r="D57" s="138"/>
      <c r="E57" s="138"/>
      <c r="F57" s="138"/>
      <c r="G57" s="138"/>
      <c r="H57" s="138"/>
      <c r="I57" s="138"/>
      <c r="J57" s="138" t="str">
        <f t="shared" si="0"/>
        <v/>
      </c>
      <c r="K57" s="141"/>
      <c r="L57" s="141"/>
      <c r="M57" s="144"/>
      <c r="N57" s="144"/>
      <c r="O57" s="144"/>
      <c r="P57" s="144"/>
      <c r="Q57" s="144"/>
      <c r="R57" s="144"/>
      <c r="S57" s="147"/>
      <c r="T57" s="147"/>
      <c r="U57" s="147"/>
      <c r="V57" s="147"/>
      <c r="W57" s="115"/>
      <c r="X57" s="115"/>
      <c r="Y57" s="115"/>
      <c r="Z57" s="144"/>
      <c r="AA57" s="114"/>
      <c r="AB57" s="144"/>
      <c r="AC57" s="114"/>
      <c r="AD57" s="144"/>
      <c r="AE57" s="144"/>
      <c r="AF57" s="114"/>
      <c r="AG57" s="60"/>
    </row>
    <row r="58" spans="1:33" s="88" customFormat="1" ht="15" x14ac:dyDescent="0.2">
      <c r="A58" s="59"/>
      <c r="B58" s="114"/>
      <c r="C58" s="114"/>
      <c r="D58" s="138"/>
      <c r="E58" s="138"/>
      <c r="F58" s="138"/>
      <c r="G58" s="138"/>
      <c r="H58" s="138"/>
      <c r="I58" s="138"/>
      <c r="J58" s="138" t="str">
        <f t="shared" si="0"/>
        <v/>
      </c>
      <c r="K58" s="141"/>
      <c r="L58" s="141"/>
      <c r="M58" s="144"/>
      <c r="N58" s="144"/>
      <c r="O58" s="144"/>
      <c r="P58" s="144"/>
      <c r="Q58" s="144"/>
      <c r="R58" s="144"/>
      <c r="S58" s="147"/>
      <c r="T58" s="147"/>
      <c r="U58" s="147"/>
      <c r="V58" s="147"/>
      <c r="W58" s="115"/>
      <c r="X58" s="115"/>
      <c r="Y58" s="115"/>
      <c r="Z58" s="144"/>
      <c r="AA58" s="114"/>
      <c r="AB58" s="144"/>
      <c r="AC58" s="114"/>
      <c r="AD58" s="144"/>
      <c r="AE58" s="144"/>
      <c r="AF58" s="114"/>
      <c r="AG58" s="60"/>
    </row>
    <row r="59" spans="1:33" s="88" customFormat="1" ht="15" x14ac:dyDescent="0.2">
      <c r="A59" s="59"/>
      <c r="B59" s="114"/>
      <c r="C59" s="114"/>
      <c r="D59" s="138"/>
      <c r="E59" s="138"/>
      <c r="F59" s="138"/>
      <c r="G59" s="138"/>
      <c r="H59" s="138"/>
      <c r="I59" s="138"/>
      <c r="J59" s="138" t="str">
        <f t="shared" si="0"/>
        <v/>
      </c>
      <c r="K59" s="141"/>
      <c r="L59" s="141"/>
      <c r="M59" s="144"/>
      <c r="N59" s="144"/>
      <c r="O59" s="144"/>
      <c r="P59" s="144"/>
      <c r="Q59" s="144"/>
      <c r="R59" s="144"/>
      <c r="S59" s="147"/>
      <c r="T59" s="147"/>
      <c r="U59" s="147"/>
      <c r="V59" s="147"/>
      <c r="W59" s="115"/>
      <c r="X59" s="115"/>
      <c r="Y59" s="115"/>
      <c r="Z59" s="144"/>
      <c r="AA59" s="114"/>
      <c r="AB59" s="144"/>
      <c r="AC59" s="114"/>
      <c r="AD59" s="144"/>
      <c r="AE59" s="144"/>
      <c r="AF59" s="114"/>
      <c r="AG59" s="60"/>
    </row>
    <row r="60" spans="1:33" s="88" customFormat="1" ht="15" x14ac:dyDescent="0.2">
      <c r="A60" s="59"/>
      <c r="B60" s="114"/>
      <c r="C60" s="114"/>
      <c r="D60" s="138"/>
      <c r="E60" s="138"/>
      <c r="F60" s="138"/>
      <c r="G60" s="138"/>
      <c r="H60" s="138"/>
      <c r="I60" s="138"/>
      <c r="J60" s="138" t="str">
        <f t="shared" si="0"/>
        <v/>
      </c>
      <c r="K60" s="141"/>
      <c r="L60" s="141"/>
      <c r="M60" s="144"/>
      <c r="N60" s="144"/>
      <c r="O60" s="144"/>
      <c r="P60" s="144"/>
      <c r="Q60" s="144"/>
      <c r="R60" s="144"/>
      <c r="S60" s="147"/>
      <c r="T60" s="147"/>
      <c r="U60" s="147"/>
      <c r="V60" s="147"/>
      <c r="W60" s="115"/>
      <c r="X60" s="115"/>
      <c r="Y60" s="115"/>
      <c r="Z60" s="144"/>
      <c r="AA60" s="114"/>
      <c r="AB60" s="144"/>
      <c r="AC60" s="114"/>
      <c r="AD60" s="144"/>
      <c r="AE60" s="144"/>
      <c r="AF60" s="114"/>
      <c r="AG60" s="60"/>
    </row>
    <row r="61" spans="1:33" s="88" customFormat="1" ht="15" x14ac:dyDescent="0.2">
      <c r="A61" s="59"/>
      <c r="B61" s="114"/>
      <c r="C61" s="114"/>
      <c r="D61" s="138"/>
      <c r="E61" s="138"/>
      <c r="F61" s="138"/>
      <c r="G61" s="138"/>
      <c r="H61" s="138"/>
      <c r="I61" s="138"/>
      <c r="J61" s="138" t="str">
        <f t="shared" si="0"/>
        <v/>
      </c>
      <c r="K61" s="141"/>
      <c r="L61" s="141"/>
      <c r="M61" s="144"/>
      <c r="N61" s="144"/>
      <c r="O61" s="144"/>
      <c r="P61" s="144"/>
      <c r="Q61" s="144"/>
      <c r="R61" s="144"/>
      <c r="S61" s="147"/>
      <c r="T61" s="147"/>
      <c r="U61" s="147"/>
      <c r="V61" s="147"/>
      <c r="W61" s="115"/>
      <c r="X61" s="115"/>
      <c r="Y61" s="115"/>
      <c r="Z61" s="144"/>
      <c r="AA61" s="114"/>
      <c r="AB61" s="144"/>
      <c r="AC61" s="114"/>
      <c r="AD61" s="144"/>
      <c r="AE61" s="144"/>
      <c r="AF61" s="114"/>
      <c r="AG61" s="60"/>
    </row>
    <row r="62" spans="1:33" s="88" customFormat="1" ht="15" x14ac:dyDescent="0.2">
      <c r="A62" s="59"/>
      <c r="B62" s="114"/>
      <c r="C62" s="114"/>
      <c r="D62" s="138"/>
      <c r="E62" s="138"/>
      <c r="F62" s="138"/>
      <c r="G62" s="138"/>
      <c r="H62" s="138"/>
      <c r="I62" s="138"/>
      <c r="J62" s="138" t="str">
        <f t="shared" si="0"/>
        <v/>
      </c>
      <c r="K62" s="141"/>
      <c r="L62" s="141"/>
      <c r="M62" s="144"/>
      <c r="N62" s="144"/>
      <c r="O62" s="144"/>
      <c r="P62" s="144"/>
      <c r="Q62" s="144"/>
      <c r="R62" s="144"/>
      <c r="S62" s="147"/>
      <c r="T62" s="147"/>
      <c r="U62" s="147"/>
      <c r="V62" s="147"/>
      <c r="W62" s="115"/>
      <c r="X62" s="115"/>
      <c r="Y62" s="115"/>
      <c r="Z62" s="144"/>
      <c r="AA62" s="114"/>
      <c r="AB62" s="144"/>
      <c r="AC62" s="114"/>
      <c r="AD62" s="144"/>
      <c r="AE62" s="144"/>
      <c r="AF62" s="114"/>
      <c r="AG62" s="60"/>
    </row>
    <row r="63" spans="1:33" s="88" customFormat="1" ht="15" x14ac:dyDescent="0.2">
      <c r="A63" s="59"/>
      <c r="B63" s="114"/>
      <c r="C63" s="114"/>
      <c r="D63" s="138"/>
      <c r="E63" s="138"/>
      <c r="F63" s="138"/>
      <c r="G63" s="138"/>
      <c r="H63" s="138"/>
      <c r="I63" s="138"/>
      <c r="J63" s="138" t="str">
        <f t="shared" si="0"/>
        <v/>
      </c>
      <c r="K63" s="141"/>
      <c r="L63" s="141"/>
      <c r="M63" s="144"/>
      <c r="N63" s="144"/>
      <c r="O63" s="144"/>
      <c r="P63" s="144"/>
      <c r="Q63" s="144"/>
      <c r="R63" s="144"/>
      <c r="S63" s="147"/>
      <c r="T63" s="147"/>
      <c r="U63" s="147"/>
      <c r="V63" s="147"/>
      <c r="W63" s="115"/>
      <c r="X63" s="115"/>
      <c r="Y63" s="115"/>
      <c r="Z63" s="144"/>
      <c r="AA63" s="114"/>
      <c r="AB63" s="144"/>
      <c r="AC63" s="114"/>
      <c r="AD63" s="144"/>
      <c r="AE63" s="144"/>
      <c r="AF63" s="114"/>
      <c r="AG63" s="60"/>
    </row>
    <row r="64" spans="1:33" s="88" customFormat="1" ht="15" x14ac:dyDescent="0.2">
      <c r="A64" s="59"/>
      <c r="B64" s="114"/>
      <c r="C64" s="114"/>
      <c r="D64" s="138"/>
      <c r="E64" s="138"/>
      <c r="F64" s="138"/>
      <c r="G64" s="138"/>
      <c r="H64" s="138"/>
      <c r="I64" s="138"/>
      <c r="J64" s="138" t="str">
        <f t="shared" si="0"/>
        <v/>
      </c>
      <c r="K64" s="141"/>
      <c r="L64" s="141"/>
      <c r="M64" s="144"/>
      <c r="N64" s="144"/>
      <c r="O64" s="144"/>
      <c r="P64" s="144"/>
      <c r="Q64" s="144"/>
      <c r="R64" s="144"/>
      <c r="S64" s="147"/>
      <c r="T64" s="147"/>
      <c r="U64" s="147"/>
      <c r="V64" s="147"/>
      <c r="W64" s="115"/>
      <c r="X64" s="115"/>
      <c r="Y64" s="115"/>
      <c r="Z64" s="144"/>
      <c r="AA64" s="114"/>
      <c r="AB64" s="144"/>
      <c r="AC64" s="114"/>
      <c r="AD64" s="144"/>
      <c r="AE64" s="144"/>
      <c r="AF64" s="114"/>
      <c r="AG64" s="60"/>
    </row>
    <row r="65" spans="1:33" s="88" customFormat="1" ht="15" x14ac:dyDescent="0.2">
      <c r="A65" s="59"/>
      <c r="B65" s="114"/>
      <c r="C65" s="114"/>
      <c r="D65" s="138"/>
      <c r="E65" s="138"/>
      <c r="F65" s="138"/>
      <c r="G65" s="138"/>
      <c r="H65" s="138"/>
      <c r="I65" s="138"/>
      <c r="J65" s="138" t="str">
        <f t="shared" si="0"/>
        <v/>
      </c>
      <c r="K65" s="141"/>
      <c r="L65" s="141"/>
      <c r="M65" s="144"/>
      <c r="N65" s="144"/>
      <c r="O65" s="144"/>
      <c r="P65" s="144"/>
      <c r="Q65" s="144"/>
      <c r="R65" s="144"/>
      <c r="S65" s="147"/>
      <c r="T65" s="147"/>
      <c r="U65" s="147"/>
      <c r="V65" s="147"/>
      <c r="W65" s="115"/>
      <c r="X65" s="115"/>
      <c r="Y65" s="115"/>
      <c r="Z65" s="144"/>
      <c r="AA65" s="114"/>
      <c r="AB65" s="144"/>
      <c r="AC65" s="114"/>
      <c r="AD65" s="144"/>
      <c r="AE65" s="144"/>
      <c r="AF65" s="114"/>
      <c r="AG65" s="60"/>
    </row>
    <row r="66" spans="1:33" s="88" customFormat="1" ht="15" x14ac:dyDescent="0.2">
      <c r="A66" s="59"/>
      <c r="B66" s="114"/>
      <c r="C66" s="114"/>
      <c r="D66" s="138"/>
      <c r="E66" s="138"/>
      <c r="F66" s="138"/>
      <c r="G66" s="138"/>
      <c r="H66" s="138"/>
      <c r="I66" s="138"/>
      <c r="J66" s="138" t="str">
        <f t="shared" si="0"/>
        <v/>
      </c>
      <c r="K66" s="141"/>
      <c r="L66" s="141"/>
      <c r="M66" s="144"/>
      <c r="N66" s="144"/>
      <c r="O66" s="144"/>
      <c r="P66" s="144"/>
      <c r="Q66" s="144"/>
      <c r="R66" s="144"/>
      <c r="S66" s="147"/>
      <c r="T66" s="147"/>
      <c r="U66" s="147"/>
      <c r="V66" s="147"/>
      <c r="W66" s="115"/>
      <c r="X66" s="115"/>
      <c r="Y66" s="115"/>
      <c r="Z66" s="144"/>
      <c r="AA66" s="114"/>
      <c r="AB66" s="144"/>
      <c r="AC66" s="114"/>
      <c r="AD66" s="144"/>
      <c r="AE66" s="144"/>
      <c r="AF66" s="114"/>
      <c r="AG66" s="60"/>
    </row>
    <row r="67" spans="1:33" s="88" customFormat="1" ht="15" x14ac:dyDescent="0.2">
      <c r="A67" s="59"/>
      <c r="B67" s="114"/>
      <c r="C67" s="114"/>
      <c r="D67" s="138"/>
      <c r="E67" s="138"/>
      <c r="F67" s="138"/>
      <c r="G67" s="138"/>
      <c r="H67" s="138"/>
      <c r="I67" s="138"/>
      <c r="J67" s="138" t="str">
        <f t="shared" si="0"/>
        <v/>
      </c>
      <c r="K67" s="141"/>
      <c r="L67" s="141"/>
      <c r="M67" s="144"/>
      <c r="N67" s="144"/>
      <c r="O67" s="144"/>
      <c r="P67" s="144"/>
      <c r="Q67" s="144"/>
      <c r="R67" s="144"/>
      <c r="S67" s="147"/>
      <c r="T67" s="147"/>
      <c r="U67" s="147"/>
      <c r="V67" s="147"/>
      <c r="W67" s="115"/>
      <c r="X67" s="115"/>
      <c r="Y67" s="115"/>
      <c r="Z67" s="144"/>
      <c r="AA67" s="114"/>
      <c r="AB67" s="144"/>
      <c r="AC67" s="114"/>
      <c r="AD67" s="144"/>
      <c r="AE67" s="144"/>
      <c r="AF67" s="114"/>
      <c r="AG67" s="60"/>
    </row>
    <row r="68" spans="1:33" s="88" customFormat="1" ht="15" x14ac:dyDescent="0.2">
      <c r="A68" s="59"/>
      <c r="B68" s="114"/>
      <c r="C68" s="114"/>
      <c r="D68" s="138"/>
      <c r="E68" s="138"/>
      <c r="F68" s="138"/>
      <c r="G68" s="138"/>
      <c r="H68" s="138"/>
      <c r="I68" s="138"/>
      <c r="J68" s="138" t="str">
        <f t="shared" si="0"/>
        <v/>
      </c>
      <c r="K68" s="141"/>
      <c r="L68" s="141"/>
      <c r="M68" s="144"/>
      <c r="N68" s="144"/>
      <c r="O68" s="144"/>
      <c r="P68" s="144"/>
      <c r="Q68" s="144"/>
      <c r="R68" s="144"/>
      <c r="S68" s="147"/>
      <c r="T68" s="147"/>
      <c r="U68" s="147"/>
      <c r="V68" s="147"/>
      <c r="W68" s="115"/>
      <c r="X68" s="115"/>
      <c r="Y68" s="115"/>
      <c r="Z68" s="144"/>
      <c r="AA68" s="114"/>
      <c r="AB68" s="144"/>
      <c r="AC68" s="114"/>
      <c r="AD68" s="144"/>
      <c r="AE68" s="144"/>
      <c r="AF68" s="114"/>
      <c r="AG68" s="60"/>
    </row>
    <row r="69" spans="1:33" s="88" customFormat="1" ht="15" x14ac:dyDescent="0.2">
      <c r="A69" s="59"/>
      <c r="B69" s="114"/>
      <c r="C69" s="114"/>
      <c r="D69" s="138"/>
      <c r="E69" s="138"/>
      <c r="F69" s="138"/>
      <c r="G69" s="138"/>
      <c r="H69" s="138"/>
      <c r="I69" s="138"/>
      <c r="J69" s="138" t="str">
        <f t="shared" si="0"/>
        <v/>
      </c>
      <c r="K69" s="141"/>
      <c r="L69" s="141"/>
      <c r="M69" s="144"/>
      <c r="N69" s="144"/>
      <c r="O69" s="144"/>
      <c r="P69" s="144"/>
      <c r="Q69" s="144"/>
      <c r="R69" s="144"/>
      <c r="S69" s="147"/>
      <c r="T69" s="147"/>
      <c r="U69" s="147"/>
      <c r="V69" s="147"/>
      <c r="W69" s="115"/>
      <c r="X69" s="115"/>
      <c r="Y69" s="115"/>
      <c r="Z69" s="144"/>
      <c r="AA69" s="114"/>
      <c r="AB69" s="144"/>
      <c r="AC69" s="114"/>
      <c r="AD69" s="144"/>
      <c r="AE69" s="144"/>
      <c r="AF69" s="114"/>
      <c r="AG69" s="60"/>
    </row>
    <row r="70" spans="1:33" s="88" customFormat="1" ht="15" x14ac:dyDescent="0.2">
      <c r="A70" s="59"/>
      <c r="B70" s="114"/>
      <c r="C70" s="114"/>
      <c r="D70" s="138"/>
      <c r="E70" s="138"/>
      <c r="F70" s="138"/>
      <c r="G70" s="138"/>
      <c r="H70" s="138"/>
      <c r="I70" s="138"/>
      <c r="J70" s="138" t="str">
        <f t="shared" si="0"/>
        <v/>
      </c>
      <c r="K70" s="141"/>
      <c r="L70" s="141"/>
      <c r="M70" s="144"/>
      <c r="N70" s="144"/>
      <c r="O70" s="144"/>
      <c r="P70" s="144"/>
      <c r="Q70" s="144"/>
      <c r="R70" s="144"/>
      <c r="S70" s="147"/>
      <c r="T70" s="147"/>
      <c r="U70" s="147"/>
      <c r="V70" s="147"/>
      <c r="W70" s="115"/>
      <c r="X70" s="115"/>
      <c r="Y70" s="115"/>
      <c r="Z70" s="144"/>
      <c r="AA70" s="114"/>
      <c r="AB70" s="144"/>
      <c r="AC70" s="114"/>
      <c r="AD70" s="144"/>
      <c r="AE70" s="144"/>
      <c r="AF70" s="114"/>
      <c r="AG70" s="60"/>
    </row>
    <row r="71" spans="1:33" s="88" customFormat="1" ht="15" x14ac:dyDescent="0.2">
      <c r="A71" s="59"/>
      <c r="B71" s="114"/>
      <c r="C71" s="114"/>
      <c r="D71" s="138"/>
      <c r="E71" s="138"/>
      <c r="F71" s="138"/>
      <c r="G71" s="138"/>
      <c r="H71" s="138"/>
      <c r="I71" s="138"/>
      <c r="J71" s="138" t="str">
        <f t="shared" si="0"/>
        <v/>
      </c>
      <c r="K71" s="141"/>
      <c r="L71" s="141"/>
      <c r="M71" s="144"/>
      <c r="N71" s="144"/>
      <c r="O71" s="144"/>
      <c r="P71" s="144"/>
      <c r="Q71" s="144"/>
      <c r="R71" s="144"/>
      <c r="S71" s="147"/>
      <c r="T71" s="147"/>
      <c r="U71" s="147"/>
      <c r="V71" s="147"/>
      <c r="W71" s="115"/>
      <c r="X71" s="115"/>
      <c r="Y71" s="115"/>
      <c r="Z71" s="144"/>
      <c r="AA71" s="114"/>
      <c r="AB71" s="144"/>
      <c r="AC71" s="114"/>
      <c r="AD71" s="144"/>
      <c r="AE71" s="144"/>
      <c r="AF71" s="114"/>
      <c r="AG71" s="60"/>
    </row>
    <row r="72" spans="1:33" s="88" customFormat="1" ht="15" x14ac:dyDescent="0.2">
      <c r="A72" s="59"/>
      <c r="B72" s="114"/>
      <c r="C72" s="114"/>
      <c r="D72" s="138"/>
      <c r="E72" s="138"/>
      <c r="F72" s="138"/>
      <c r="G72" s="138"/>
      <c r="H72" s="138"/>
      <c r="I72" s="138"/>
      <c r="J72" s="138" t="str">
        <f t="shared" si="0"/>
        <v/>
      </c>
      <c r="K72" s="141"/>
      <c r="L72" s="141"/>
      <c r="M72" s="144"/>
      <c r="N72" s="144"/>
      <c r="O72" s="144"/>
      <c r="P72" s="144"/>
      <c r="Q72" s="144"/>
      <c r="R72" s="144"/>
      <c r="S72" s="147"/>
      <c r="T72" s="147"/>
      <c r="U72" s="147"/>
      <c r="V72" s="147"/>
      <c r="W72" s="115"/>
      <c r="X72" s="115"/>
      <c r="Y72" s="115"/>
      <c r="Z72" s="144"/>
      <c r="AA72" s="114"/>
      <c r="AB72" s="144"/>
      <c r="AC72" s="114"/>
      <c r="AD72" s="144"/>
      <c r="AE72" s="144"/>
      <c r="AF72" s="114"/>
      <c r="AG72" s="60"/>
    </row>
    <row r="73" spans="1:33" s="88" customFormat="1" ht="15" x14ac:dyDescent="0.2">
      <c r="A73" s="59"/>
      <c r="B73" s="114"/>
      <c r="C73" s="114"/>
      <c r="D73" s="138"/>
      <c r="E73" s="138"/>
      <c r="F73" s="138"/>
      <c r="G73" s="138"/>
      <c r="H73" s="138"/>
      <c r="I73" s="138"/>
      <c r="J73" s="138" t="str">
        <f t="shared" si="0"/>
        <v/>
      </c>
      <c r="K73" s="141"/>
      <c r="L73" s="141"/>
      <c r="M73" s="144"/>
      <c r="N73" s="144"/>
      <c r="O73" s="144"/>
      <c r="P73" s="144"/>
      <c r="Q73" s="144"/>
      <c r="R73" s="144"/>
      <c r="S73" s="147"/>
      <c r="T73" s="147"/>
      <c r="U73" s="147"/>
      <c r="V73" s="147"/>
      <c r="W73" s="115"/>
      <c r="X73" s="115"/>
      <c r="Y73" s="115"/>
      <c r="Z73" s="144"/>
      <c r="AA73" s="114"/>
      <c r="AB73" s="144"/>
      <c r="AC73" s="114"/>
      <c r="AD73" s="144"/>
      <c r="AE73" s="144"/>
      <c r="AF73" s="114"/>
      <c r="AG73" s="60"/>
    </row>
    <row r="74" spans="1:33" s="88" customFormat="1" ht="15" x14ac:dyDescent="0.2">
      <c r="A74" s="59"/>
      <c r="B74" s="114"/>
      <c r="C74" s="114"/>
      <c r="D74" s="138"/>
      <c r="E74" s="138"/>
      <c r="F74" s="138"/>
      <c r="G74" s="138"/>
      <c r="H74" s="138"/>
      <c r="I74" s="138"/>
      <c r="J74" s="138" t="str">
        <f t="shared" si="0"/>
        <v/>
      </c>
      <c r="K74" s="141"/>
      <c r="L74" s="141"/>
      <c r="M74" s="144"/>
      <c r="N74" s="144"/>
      <c r="O74" s="144"/>
      <c r="P74" s="144"/>
      <c r="Q74" s="144"/>
      <c r="R74" s="144"/>
      <c r="S74" s="147"/>
      <c r="T74" s="147"/>
      <c r="U74" s="147"/>
      <c r="V74" s="147"/>
      <c r="W74" s="115"/>
      <c r="X74" s="115"/>
      <c r="Y74" s="115"/>
      <c r="Z74" s="144"/>
      <c r="AA74" s="114"/>
      <c r="AB74" s="144"/>
      <c r="AC74" s="114"/>
      <c r="AD74" s="144"/>
      <c r="AE74" s="144"/>
      <c r="AF74" s="114"/>
      <c r="AG74" s="60"/>
    </row>
    <row r="75" spans="1:33" s="88" customFormat="1" ht="15" x14ac:dyDescent="0.2">
      <c r="A75" s="59"/>
      <c r="B75" s="114"/>
      <c r="C75" s="114"/>
      <c r="D75" s="138"/>
      <c r="E75" s="138"/>
      <c r="F75" s="138"/>
      <c r="G75" s="138"/>
      <c r="H75" s="138"/>
      <c r="I75" s="138"/>
      <c r="J75" s="138" t="str">
        <f t="shared" si="0"/>
        <v/>
      </c>
      <c r="K75" s="141"/>
      <c r="L75" s="141"/>
      <c r="M75" s="144"/>
      <c r="N75" s="144"/>
      <c r="O75" s="144"/>
      <c r="P75" s="144"/>
      <c r="Q75" s="144"/>
      <c r="R75" s="144"/>
      <c r="S75" s="147"/>
      <c r="T75" s="147"/>
      <c r="U75" s="147"/>
      <c r="V75" s="147"/>
      <c r="W75" s="115"/>
      <c r="X75" s="115"/>
      <c r="Y75" s="115"/>
      <c r="Z75" s="144"/>
      <c r="AA75" s="114"/>
      <c r="AB75" s="144"/>
      <c r="AC75" s="114"/>
      <c r="AD75" s="144"/>
      <c r="AE75" s="144"/>
      <c r="AF75" s="114"/>
      <c r="AG75" s="60"/>
    </row>
    <row r="76" spans="1:33" s="88" customFormat="1" ht="15" x14ac:dyDescent="0.2">
      <c r="A76" s="59"/>
      <c r="B76" s="114"/>
      <c r="C76" s="114"/>
      <c r="D76" s="138"/>
      <c r="E76" s="138"/>
      <c r="F76" s="138"/>
      <c r="G76" s="138"/>
      <c r="H76" s="138"/>
      <c r="I76" s="138"/>
      <c r="J76" s="138" t="str">
        <f t="shared" si="0"/>
        <v/>
      </c>
      <c r="K76" s="141"/>
      <c r="L76" s="141"/>
      <c r="M76" s="144"/>
      <c r="N76" s="144"/>
      <c r="O76" s="144"/>
      <c r="P76" s="144"/>
      <c r="Q76" s="144"/>
      <c r="R76" s="144"/>
      <c r="S76" s="147"/>
      <c r="T76" s="147"/>
      <c r="U76" s="147"/>
      <c r="V76" s="147"/>
      <c r="W76" s="115"/>
      <c r="X76" s="115"/>
      <c r="Y76" s="115"/>
      <c r="Z76" s="144"/>
      <c r="AA76" s="114"/>
      <c r="AB76" s="144"/>
      <c r="AC76" s="114"/>
      <c r="AD76" s="144"/>
      <c r="AE76" s="144"/>
      <c r="AF76" s="114"/>
      <c r="AG76" s="60"/>
    </row>
    <row r="77" spans="1:33" s="88" customFormat="1" ht="15" x14ac:dyDescent="0.2">
      <c r="A77" s="59"/>
      <c r="B77" s="114"/>
      <c r="C77" s="114"/>
      <c r="D77" s="138"/>
      <c r="E77" s="138"/>
      <c r="F77" s="138"/>
      <c r="G77" s="138"/>
      <c r="H77" s="138"/>
      <c r="I77" s="138"/>
      <c r="J77" s="138" t="str">
        <f t="shared" si="0"/>
        <v/>
      </c>
      <c r="K77" s="141"/>
      <c r="L77" s="141"/>
      <c r="M77" s="144"/>
      <c r="N77" s="144"/>
      <c r="O77" s="144"/>
      <c r="P77" s="144"/>
      <c r="Q77" s="144"/>
      <c r="R77" s="144"/>
      <c r="S77" s="147"/>
      <c r="T77" s="147"/>
      <c r="U77" s="147"/>
      <c r="V77" s="147"/>
      <c r="W77" s="115"/>
      <c r="X77" s="115"/>
      <c r="Y77" s="115"/>
      <c r="Z77" s="144"/>
      <c r="AA77" s="114"/>
      <c r="AB77" s="144"/>
      <c r="AC77" s="114"/>
      <c r="AD77" s="144"/>
      <c r="AE77" s="144"/>
      <c r="AF77" s="114"/>
      <c r="AG77" s="60"/>
    </row>
    <row r="78" spans="1:33" s="88" customFormat="1" ht="15" x14ac:dyDescent="0.2">
      <c r="A78" s="59"/>
      <c r="B78" s="114"/>
      <c r="C78" s="114"/>
      <c r="D78" s="138"/>
      <c r="E78" s="138"/>
      <c r="F78" s="138"/>
      <c r="G78" s="138"/>
      <c r="H78" s="138"/>
      <c r="I78" s="138"/>
      <c r="J78" s="138" t="str">
        <f t="shared" si="0"/>
        <v/>
      </c>
      <c r="K78" s="141"/>
      <c r="L78" s="141"/>
      <c r="M78" s="144"/>
      <c r="N78" s="144"/>
      <c r="O78" s="144"/>
      <c r="P78" s="144"/>
      <c r="Q78" s="144"/>
      <c r="R78" s="144"/>
      <c r="S78" s="147"/>
      <c r="T78" s="147"/>
      <c r="U78" s="147"/>
      <c r="V78" s="147"/>
      <c r="W78" s="115"/>
      <c r="X78" s="115"/>
      <c r="Y78" s="115"/>
      <c r="Z78" s="144"/>
      <c r="AA78" s="114"/>
      <c r="AB78" s="144"/>
      <c r="AC78" s="114"/>
      <c r="AD78" s="144"/>
      <c r="AE78" s="144"/>
      <c r="AF78" s="114"/>
      <c r="AG78" s="60"/>
    </row>
    <row r="79" spans="1:33" s="88" customFormat="1" ht="15" x14ac:dyDescent="0.2">
      <c r="A79" s="59"/>
      <c r="B79" s="114"/>
      <c r="C79" s="114"/>
      <c r="D79" s="138"/>
      <c r="E79" s="138"/>
      <c r="F79" s="138"/>
      <c r="G79" s="138"/>
      <c r="H79" s="138"/>
      <c r="I79" s="138"/>
      <c r="J79" s="138" t="str">
        <f t="shared" si="0"/>
        <v/>
      </c>
      <c r="K79" s="141"/>
      <c r="L79" s="141"/>
      <c r="M79" s="144"/>
      <c r="N79" s="144"/>
      <c r="O79" s="144"/>
      <c r="P79" s="144"/>
      <c r="Q79" s="144"/>
      <c r="R79" s="144"/>
      <c r="S79" s="147"/>
      <c r="T79" s="147"/>
      <c r="U79" s="147"/>
      <c r="V79" s="147"/>
      <c r="W79" s="115"/>
      <c r="X79" s="115"/>
      <c r="Y79" s="115"/>
      <c r="Z79" s="144"/>
      <c r="AA79" s="114"/>
      <c r="AB79" s="144"/>
      <c r="AC79" s="114"/>
      <c r="AD79" s="144"/>
      <c r="AE79" s="144"/>
      <c r="AF79" s="114"/>
      <c r="AG79" s="60"/>
    </row>
    <row r="80" spans="1:33" s="88" customFormat="1" ht="15" x14ac:dyDescent="0.2">
      <c r="A80" s="59"/>
      <c r="B80" s="114"/>
      <c r="C80" s="114"/>
      <c r="D80" s="138"/>
      <c r="E80" s="138"/>
      <c r="F80" s="138"/>
      <c r="G80" s="138"/>
      <c r="H80" s="138"/>
      <c r="I80" s="138"/>
      <c r="J80" s="138" t="str">
        <f t="shared" si="0"/>
        <v/>
      </c>
      <c r="K80" s="141"/>
      <c r="L80" s="141"/>
      <c r="M80" s="144"/>
      <c r="N80" s="144"/>
      <c r="O80" s="144"/>
      <c r="P80" s="144"/>
      <c r="Q80" s="144"/>
      <c r="R80" s="144"/>
      <c r="S80" s="147"/>
      <c r="T80" s="147"/>
      <c r="U80" s="147"/>
      <c r="V80" s="147"/>
      <c r="W80" s="115"/>
      <c r="X80" s="115"/>
      <c r="Y80" s="115"/>
      <c r="Z80" s="144"/>
      <c r="AA80" s="114"/>
      <c r="AB80" s="144"/>
      <c r="AC80" s="114"/>
      <c r="AD80" s="144"/>
      <c r="AE80" s="144"/>
      <c r="AF80" s="114"/>
      <c r="AG80" s="60"/>
    </row>
    <row r="81" spans="1:33" s="88" customFormat="1" ht="15" x14ac:dyDescent="0.2">
      <c r="A81" s="59"/>
      <c r="B81" s="114"/>
      <c r="C81" s="114"/>
      <c r="D81" s="138"/>
      <c r="E81" s="138"/>
      <c r="F81" s="138"/>
      <c r="G81" s="138"/>
      <c r="H81" s="138"/>
      <c r="I81" s="138"/>
      <c r="J81" s="138" t="str">
        <f t="shared" si="0"/>
        <v/>
      </c>
      <c r="K81" s="141"/>
      <c r="L81" s="141"/>
      <c r="M81" s="144"/>
      <c r="N81" s="144"/>
      <c r="O81" s="144"/>
      <c r="P81" s="144"/>
      <c r="Q81" s="144"/>
      <c r="R81" s="144"/>
      <c r="S81" s="147"/>
      <c r="T81" s="147"/>
      <c r="U81" s="147"/>
      <c r="V81" s="147"/>
      <c r="W81" s="115"/>
      <c r="X81" s="115"/>
      <c r="Y81" s="115"/>
      <c r="Z81" s="144"/>
      <c r="AA81" s="114"/>
      <c r="AB81" s="144"/>
      <c r="AC81" s="114"/>
      <c r="AD81" s="144"/>
      <c r="AE81" s="144"/>
      <c r="AF81" s="114"/>
      <c r="AG81" s="60"/>
    </row>
    <row r="82" spans="1:33" s="88" customFormat="1" ht="15" x14ac:dyDescent="0.2">
      <c r="A82" s="59"/>
      <c r="B82" s="114"/>
      <c r="C82" s="114"/>
      <c r="D82" s="138"/>
      <c r="E82" s="138"/>
      <c r="F82" s="138"/>
      <c r="G82" s="138"/>
      <c r="H82" s="138"/>
      <c r="I82" s="138"/>
      <c r="J82" s="138" t="str">
        <f t="shared" si="0"/>
        <v/>
      </c>
      <c r="K82" s="141"/>
      <c r="L82" s="141"/>
      <c r="M82" s="144"/>
      <c r="N82" s="144"/>
      <c r="O82" s="144"/>
      <c r="P82" s="144"/>
      <c r="Q82" s="144"/>
      <c r="R82" s="144"/>
      <c r="S82" s="147"/>
      <c r="T82" s="147"/>
      <c r="U82" s="147"/>
      <c r="V82" s="147"/>
      <c r="W82" s="115"/>
      <c r="X82" s="115"/>
      <c r="Y82" s="115"/>
      <c r="Z82" s="144"/>
      <c r="AA82" s="114"/>
      <c r="AB82" s="144"/>
      <c r="AC82" s="114"/>
      <c r="AD82" s="144"/>
      <c r="AE82" s="144"/>
      <c r="AF82" s="114"/>
      <c r="AG82" s="60"/>
    </row>
    <row r="83" spans="1:33" s="88" customFormat="1" ht="15" x14ac:dyDescent="0.2">
      <c r="A83" s="59"/>
      <c r="B83" s="114"/>
      <c r="C83" s="114"/>
      <c r="D83" s="138"/>
      <c r="E83" s="138"/>
      <c r="F83" s="138"/>
      <c r="G83" s="138"/>
      <c r="H83" s="138"/>
      <c r="I83" s="138"/>
      <c r="J83" s="138" t="str">
        <f t="shared" si="0"/>
        <v/>
      </c>
      <c r="K83" s="141"/>
      <c r="L83" s="141"/>
      <c r="M83" s="144"/>
      <c r="N83" s="144"/>
      <c r="O83" s="144"/>
      <c r="P83" s="144"/>
      <c r="Q83" s="144"/>
      <c r="R83" s="144"/>
      <c r="S83" s="147"/>
      <c r="T83" s="147"/>
      <c r="U83" s="147"/>
      <c r="V83" s="147"/>
      <c r="W83" s="115"/>
      <c r="X83" s="115"/>
      <c r="Y83" s="115"/>
      <c r="Z83" s="144"/>
      <c r="AA83" s="114"/>
      <c r="AB83" s="144"/>
      <c r="AC83" s="114"/>
      <c r="AD83" s="144"/>
      <c r="AE83" s="144"/>
      <c r="AF83" s="114"/>
      <c r="AG83" s="60"/>
    </row>
    <row r="84" spans="1:33" ht="15" x14ac:dyDescent="0.2">
      <c r="A84" s="59"/>
      <c r="B84" s="114"/>
      <c r="C84" s="114"/>
      <c r="D84" s="138"/>
      <c r="E84" s="138"/>
      <c r="F84" s="138"/>
      <c r="G84" s="138"/>
      <c r="H84" s="138"/>
      <c r="I84" s="138"/>
      <c r="J84" s="138" t="str">
        <f t="shared" si="0"/>
        <v/>
      </c>
      <c r="K84" s="141"/>
      <c r="L84" s="141"/>
      <c r="M84" s="144"/>
      <c r="N84" s="144"/>
      <c r="O84" s="144"/>
      <c r="P84" s="144"/>
      <c r="Q84" s="144"/>
      <c r="R84" s="144"/>
      <c r="S84" s="147"/>
      <c r="T84" s="147"/>
      <c r="U84" s="147"/>
      <c r="V84" s="147"/>
      <c r="W84" s="115"/>
      <c r="X84" s="115"/>
      <c r="Y84" s="115"/>
      <c r="Z84" s="144"/>
      <c r="AA84" s="114"/>
      <c r="AB84" s="149"/>
      <c r="AC84" s="116"/>
      <c r="AD84" s="149"/>
      <c r="AE84" s="149"/>
      <c r="AF84" s="114"/>
      <c r="AG84" s="60"/>
    </row>
    <row r="85" spans="1:33" ht="15.75" thickBot="1" x14ac:dyDescent="0.25">
      <c r="A85" s="59"/>
      <c r="B85" s="117"/>
      <c r="C85" s="117"/>
      <c r="D85" s="139"/>
      <c r="E85" s="139"/>
      <c r="F85" s="139"/>
      <c r="G85" s="139"/>
      <c r="H85" s="139"/>
      <c r="I85" s="139"/>
      <c r="J85" s="138" t="str">
        <f t="shared" ref="J85" si="1">IF(OR(H85="",G85=""),"",H85-G85)</f>
        <v/>
      </c>
      <c r="K85" s="142"/>
      <c r="L85" s="142"/>
      <c r="M85" s="145"/>
      <c r="N85" s="145"/>
      <c r="O85" s="145"/>
      <c r="P85" s="145"/>
      <c r="Q85" s="145"/>
      <c r="R85" s="145"/>
      <c r="S85" s="148"/>
      <c r="T85" s="148"/>
      <c r="U85" s="148"/>
      <c r="V85" s="148"/>
      <c r="W85" s="118"/>
      <c r="X85" s="118"/>
      <c r="Y85" s="118"/>
      <c r="Z85" s="145"/>
      <c r="AA85" s="117"/>
      <c r="AB85" s="145"/>
      <c r="AC85" s="117"/>
      <c r="AD85" s="145"/>
      <c r="AE85" s="145"/>
      <c r="AF85" s="117"/>
      <c r="AG85" s="60"/>
    </row>
    <row r="86" spans="1:33" ht="15.75" thickBot="1" x14ac:dyDescent="0.25">
      <c r="A86" s="95"/>
      <c r="B86" s="107"/>
      <c r="C86" s="107"/>
      <c r="D86" s="107"/>
      <c r="E86" s="107"/>
      <c r="F86" s="108"/>
      <c r="G86" s="109"/>
      <c r="H86" s="109"/>
      <c r="I86" s="109"/>
      <c r="J86" s="109"/>
      <c r="K86" s="110"/>
      <c r="L86" s="110"/>
      <c r="M86" s="110"/>
      <c r="N86" s="111"/>
      <c r="O86" s="111"/>
      <c r="P86" s="111"/>
      <c r="Q86" s="111"/>
      <c r="R86" s="111"/>
      <c r="S86" s="111"/>
      <c r="T86" s="111"/>
      <c r="U86" s="111"/>
      <c r="V86" s="111"/>
      <c r="W86" s="111"/>
      <c r="X86" s="111"/>
      <c r="Y86" s="111"/>
      <c r="Z86" s="111"/>
      <c r="AA86" s="107"/>
      <c r="AB86" s="107"/>
      <c r="AC86" s="107"/>
      <c r="AD86" s="130"/>
      <c r="AE86" s="130"/>
      <c r="AF86" s="130"/>
      <c r="AG86" s="96"/>
    </row>
    <row r="87" spans="1:33" ht="15.75" thickTop="1" x14ac:dyDescent="0.2">
      <c r="A87" s="59"/>
      <c r="B87" s="53"/>
      <c r="C87" s="53"/>
      <c r="D87" s="53"/>
      <c r="E87" s="53"/>
      <c r="F87" s="84"/>
      <c r="G87" s="85"/>
      <c r="H87" s="85"/>
      <c r="I87" s="85"/>
      <c r="J87" s="85"/>
      <c r="K87" s="86"/>
      <c r="L87" s="86"/>
      <c r="M87" s="86"/>
      <c r="N87" s="87"/>
      <c r="O87" s="87"/>
      <c r="P87" s="87"/>
      <c r="Q87" s="87"/>
      <c r="R87" s="87"/>
      <c r="S87" s="87"/>
      <c r="T87" s="87"/>
      <c r="U87" s="87"/>
      <c r="V87" s="87"/>
      <c r="W87" s="87"/>
      <c r="X87" s="53"/>
      <c r="Y87" s="53"/>
      <c r="Z87" s="53"/>
      <c r="AA87" s="53"/>
      <c r="AB87" s="53"/>
      <c r="AC87" s="53"/>
      <c r="AD87" s="53"/>
      <c r="AE87" s="53"/>
      <c r="AF87" s="53"/>
    </row>
    <row r="88" spans="1:33" ht="15" x14ac:dyDescent="0.2">
      <c r="A88" s="59"/>
      <c r="B88" s="53"/>
      <c r="C88" s="53"/>
      <c r="D88" s="53"/>
      <c r="E88" s="53"/>
      <c r="F88" s="84"/>
      <c r="G88" s="85"/>
      <c r="H88" s="85"/>
      <c r="I88" s="85"/>
      <c r="J88" s="85"/>
      <c r="K88" s="86"/>
      <c r="L88" s="86"/>
      <c r="M88" s="86"/>
      <c r="N88" s="87"/>
      <c r="O88" s="87"/>
      <c r="P88" s="87"/>
      <c r="Q88" s="87"/>
      <c r="R88" s="87"/>
      <c r="S88" s="87"/>
      <c r="T88" s="87"/>
      <c r="U88" s="87"/>
      <c r="V88" s="87"/>
      <c r="W88" s="87"/>
      <c r="X88" s="53"/>
      <c r="Y88" s="53"/>
      <c r="Z88" s="53"/>
      <c r="AA88" s="53"/>
      <c r="AB88" s="53"/>
      <c r="AC88" s="53"/>
      <c r="AD88" s="53"/>
      <c r="AE88" s="53"/>
      <c r="AF88" s="53"/>
    </row>
    <row r="89" spans="1:33" ht="15" x14ac:dyDescent="0.2">
      <c r="A89" s="59"/>
      <c r="B89" s="53"/>
      <c r="C89" s="53"/>
      <c r="D89" s="53"/>
      <c r="E89" s="53"/>
      <c r="F89" s="84"/>
      <c r="G89" s="85"/>
      <c r="H89" s="85"/>
      <c r="I89" s="85"/>
      <c r="J89" s="85"/>
      <c r="K89" s="86"/>
      <c r="L89" s="86"/>
      <c r="M89" s="86"/>
      <c r="N89" s="87"/>
      <c r="O89" s="87"/>
      <c r="P89" s="87"/>
      <c r="Q89" s="87"/>
      <c r="R89" s="87"/>
      <c r="S89" s="87"/>
      <c r="T89" s="87"/>
      <c r="U89" s="87"/>
      <c r="V89" s="87"/>
      <c r="W89" s="87"/>
      <c r="X89" s="53"/>
      <c r="Y89" s="53"/>
      <c r="Z89" s="53"/>
      <c r="AA89" s="53"/>
      <c r="AB89" s="53"/>
      <c r="AC89" s="53"/>
      <c r="AD89" s="53"/>
      <c r="AE89" s="53"/>
      <c r="AF89" s="53"/>
    </row>
    <row r="90" spans="1:33" ht="15" x14ac:dyDescent="0.2">
      <c r="A90" s="59"/>
      <c r="B90" s="53"/>
      <c r="C90" s="53"/>
      <c r="D90" s="53"/>
      <c r="E90" s="53"/>
      <c r="F90" s="84"/>
      <c r="G90" s="85"/>
      <c r="H90" s="85"/>
      <c r="I90" s="85"/>
      <c r="J90" s="85"/>
      <c r="K90" s="86"/>
      <c r="L90" s="86"/>
      <c r="M90" s="86"/>
      <c r="N90" s="87"/>
      <c r="O90" s="87"/>
      <c r="P90" s="87"/>
      <c r="Q90" s="87"/>
      <c r="R90" s="87"/>
      <c r="S90" s="87"/>
      <c r="T90" s="87"/>
      <c r="U90" s="87"/>
      <c r="V90" s="87"/>
      <c r="W90" s="87"/>
      <c r="X90" s="53"/>
      <c r="Y90" s="53"/>
      <c r="Z90" s="53"/>
      <c r="AA90" s="53"/>
      <c r="AB90" s="53"/>
      <c r="AC90" s="53"/>
      <c r="AD90" s="53"/>
      <c r="AE90" s="53"/>
      <c r="AF90" s="53"/>
    </row>
    <row r="91" spans="1:33" ht="15" x14ac:dyDescent="0.2">
      <c r="A91" s="59"/>
      <c r="B91" s="53"/>
      <c r="C91" s="53"/>
      <c r="D91" s="53"/>
      <c r="E91" s="53"/>
      <c r="F91" s="84"/>
      <c r="G91" s="85"/>
      <c r="H91" s="85"/>
      <c r="I91" s="85"/>
      <c r="J91" s="85"/>
      <c r="K91" s="86"/>
      <c r="L91" s="86"/>
      <c r="M91" s="86"/>
      <c r="N91" s="87"/>
      <c r="O91" s="87"/>
      <c r="P91" s="87"/>
      <c r="Q91" s="87"/>
      <c r="R91" s="87"/>
      <c r="S91" s="87"/>
      <c r="T91" s="87"/>
      <c r="U91" s="87"/>
      <c r="V91" s="87"/>
      <c r="W91" s="87"/>
      <c r="X91" s="53"/>
      <c r="Y91" s="53"/>
      <c r="Z91" s="53"/>
      <c r="AA91" s="53"/>
      <c r="AB91" s="53"/>
      <c r="AC91" s="53"/>
      <c r="AD91" s="53"/>
      <c r="AE91" s="53"/>
      <c r="AF91" s="53"/>
    </row>
    <row r="92" spans="1:33" ht="15" x14ac:dyDescent="0.2">
      <c r="A92" s="59"/>
      <c r="B92" s="53"/>
      <c r="C92" s="53"/>
      <c r="D92" s="53"/>
      <c r="E92" s="53"/>
      <c r="F92" s="84"/>
      <c r="G92" s="85"/>
      <c r="H92" s="85"/>
      <c r="I92" s="85"/>
      <c r="J92" s="85"/>
      <c r="K92" s="86"/>
      <c r="L92" s="86"/>
      <c r="M92" s="86"/>
      <c r="N92" s="87"/>
      <c r="O92" s="87"/>
      <c r="P92" s="87"/>
      <c r="Q92" s="87"/>
      <c r="R92" s="87"/>
      <c r="S92" s="87"/>
      <c r="T92" s="87"/>
      <c r="U92" s="87"/>
      <c r="V92" s="87"/>
      <c r="W92" s="87"/>
      <c r="X92" s="53"/>
      <c r="Y92" s="53"/>
      <c r="Z92" s="53"/>
      <c r="AA92" s="53"/>
      <c r="AB92" s="53"/>
      <c r="AC92" s="53"/>
      <c r="AD92" s="53"/>
      <c r="AE92" s="53"/>
      <c r="AF92" s="53"/>
    </row>
    <row r="93" spans="1:33" ht="15" x14ac:dyDescent="0.2">
      <c r="A93" s="59"/>
      <c r="B93" s="53"/>
      <c r="C93" s="53"/>
      <c r="D93" s="53"/>
      <c r="E93" s="53"/>
      <c r="F93" s="84"/>
      <c r="G93" s="85"/>
      <c r="H93" s="85"/>
      <c r="I93" s="85"/>
      <c r="J93" s="85"/>
      <c r="K93" s="86"/>
      <c r="L93" s="86"/>
      <c r="M93" s="86"/>
      <c r="N93" s="87"/>
      <c r="O93" s="87"/>
      <c r="P93" s="87"/>
      <c r="Q93" s="87"/>
      <c r="R93" s="87"/>
      <c r="S93" s="87"/>
      <c r="T93" s="87"/>
      <c r="U93" s="87"/>
      <c r="V93" s="87"/>
      <c r="W93" s="87"/>
      <c r="X93" s="53"/>
      <c r="Y93" s="53"/>
      <c r="Z93" s="53"/>
      <c r="AA93" s="53"/>
      <c r="AB93" s="53"/>
      <c r="AC93" s="53"/>
      <c r="AD93" s="53"/>
      <c r="AE93" s="53"/>
      <c r="AF93" s="53"/>
    </row>
    <row r="94" spans="1:33" ht="15" x14ac:dyDescent="0.2">
      <c r="A94" s="59"/>
      <c r="B94" s="53"/>
      <c r="C94" s="53"/>
      <c r="D94" s="53"/>
      <c r="E94" s="53"/>
      <c r="F94" s="84"/>
      <c r="G94" s="85"/>
      <c r="H94" s="85"/>
      <c r="I94" s="85"/>
      <c r="J94" s="85"/>
      <c r="K94" s="86"/>
      <c r="L94" s="86"/>
      <c r="M94" s="86"/>
      <c r="N94" s="87"/>
      <c r="O94" s="87"/>
      <c r="P94" s="87"/>
      <c r="Q94" s="87"/>
      <c r="R94" s="87"/>
      <c r="S94" s="87"/>
      <c r="T94" s="87"/>
      <c r="U94" s="87"/>
      <c r="V94" s="87"/>
      <c r="W94" s="87"/>
      <c r="X94" s="53"/>
      <c r="Y94" s="53"/>
      <c r="Z94" s="53"/>
      <c r="AA94" s="53"/>
      <c r="AB94" s="53"/>
      <c r="AC94" s="53"/>
      <c r="AD94" s="53"/>
      <c r="AE94" s="53"/>
      <c r="AF94" s="53"/>
    </row>
    <row r="95" spans="1:33" ht="15" x14ac:dyDescent="0.2">
      <c r="A95" s="59"/>
      <c r="B95" s="53"/>
      <c r="C95" s="53"/>
      <c r="D95" s="53"/>
      <c r="E95" s="53"/>
      <c r="F95" s="84"/>
      <c r="G95" s="85"/>
      <c r="H95" s="85"/>
      <c r="I95" s="85"/>
      <c r="J95" s="85"/>
      <c r="K95" s="86"/>
      <c r="L95" s="86"/>
      <c r="M95" s="86"/>
      <c r="N95" s="87"/>
      <c r="O95" s="87"/>
      <c r="P95" s="87"/>
      <c r="Q95" s="87"/>
      <c r="R95" s="87"/>
      <c r="S95" s="87"/>
      <c r="T95" s="87"/>
      <c r="U95" s="87"/>
      <c r="V95" s="87"/>
      <c r="W95" s="87"/>
      <c r="X95" s="53"/>
      <c r="Y95" s="53"/>
      <c r="Z95" s="53"/>
      <c r="AA95" s="53"/>
      <c r="AB95" s="53"/>
      <c r="AC95" s="53"/>
      <c r="AD95" s="53"/>
      <c r="AE95" s="53"/>
      <c r="AF95" s="53"/>
    </row>
    <row r="96" spans="1:33" ht="15" x14ac:dyDescent="0.2">
      <c r="A96" s="59"/>
      <c r="B96" s="53"/>
      <c r="C96" s="53"/>
      <c r="D96" s="53"/>
      <c r="E96" s="53"/>
      <c r="F96" s="84"/>
      <c r="G96" s="85"/>
      <c r="H96" s="85"/>
      <c r="I96" s="85"/>
      <c r="J96" s="85"/>
      <c r="K96" s="86"/>
      <c r="L96" s="86"/>
      <c r="M96" s="86"/>
      <c r="N96" s="87"/>
      <c r="O96" s="87"/>
      <c r="P96" s="87"/>
      <c r="Q96" s="87"/>
      <c r="R96" s="87"/>
      <c r="S96" s="87"/>
      <c r="T96" s="87"/>
      <c r="U96" s="87"/>
      <c r="V96" s="87"/>
      <c r="W96" s="87"/>
      <c r="X96" s="53"/>
      <c r="Y96" s="53"/>
      <c r="Z96" s="53"/>
      <c r="AA96" s="53"/>
      <c r="AB96" s="53"/>
      <c r="AC96" s="53"/>
      <c r="AD96" s="53"/>
      <c r="AE96" s="53"/>
      <c r="AF96" s="53"/>
    </row>
    <row r="97" spans="1:32" ht="15" x14ac:dyDescent="0.2">
      <c r="A97" s="59"/>
      <c r="B97" s="53"/>
      <c r="C97" s="53"/>
      <c r="D97" s="53"/>
      <c r="E97" s="53"/>
      <c r="F97" s="84"/>
      <c r="G97" s="85"/>
      <c r="H97" s="85"/>
      <c r="I97" s="85"/>
      <c r="J97" s="85"/>
      <c r="K97" s="86"/>
      <c r="L97" s="86"/>
      <c r="M97" s="86"/>
      <c r="N97" s="87"/>
      <c r="O97" s="87"/>
      <c r="P97" s="87"/>
      <c r="Q97" s="87"/>
      <c r="R97" s="87"/>
      <c r="S97" s="87"/>
      <c r="T97" s="87"/>
      <c r="U97" s="87"/>
      <c r="V97" s="87"/>
      <c r="W97" s="87"/>
      <c r="X97" s="53"/>
      <c r="Y97" s="53"/>
      <c r="Z97" s="53"/>
      <c r="AA97" s="53"/>
      <c r="AB97" s="53"/>
      <c r="AC97" s="53"/>
      <c r="AD97" s="53"/>
      <c r="AE97" s="53"/>
      <c r="AF97" s="53"/>
    </row>
    <row r="98" spans="1:32" ht="15" x14ac:dyDescent="0.2">
      <c r="A98" s="59"/>
      <c r="B98" s="53"/>
      <c r="C98" s="53"/>
      <c r="D98" s="53"/>
      <c r="E98" s="53"/>
      <c r="F98" s="84"/>
      <c r="G98" s="85"/>
      <c r="H98" s="85"/>
      <c r="I98" s="85"/>
      <c r="J98" s="85"/>
      <c r="K98" s="86"/>
      <c r="L98" s="86"/>
      <c r="M98" s="86"/>
      <c r="N98" s="87"/>
      <c r="O98" s="87"/>
      <c r="P98" s="87"/>
      <c r="Q98" s="87"/>
      <c r="R98" s="87"/>
      <c r="S98" s="87"/>
      <c r="T98" s="87"/>
      <c r="U98" s="87"/>
      <c r="V98" s="87"/>
      <c r="W98" s="87"/>
      <c r="X98" s="53"/>
      <c r="Y98" s="53"/>
      <c r="Z98" s="53"/>
      <c r="AA98" s="53"/>
      <c r="AB98" s="53"/>
      <c r="AC98" s="53"/>
      <c r="AD98" s="53"/>
      <c r="AE98" s="53"/>
      <c r="AF98" s="53"/>
    </row>
    <row r="99" spans="1:32" ht="15" x14ac:dyDescent="0.2">
      <c r="A99" s="59"/>
      <c r="B99" s="53"/>
      <c r="C99" s="53"/>
      <c r="D99" s="53"/>
      <c r="E99" s="53"/>
      <c r="F99" s="84"/>
      <c r="G99" s="85"/>
      <c r="H99" s="85"/>
      <c r="I99" s="85"/>
      <c r="J99" s="85"/>
      <c r="K99" s="86"/>
      <c r="L99" s="86"/>
      <c r="M99" s="86"/>
      <c r="N99" s="87"/>
      <c r="O99" s="87"/>
      <c r="P99" s="87"/>
      <c r="Q99" s="87"/>
      <c r="R99" s="87"/>
      <c r="S99" s="87"/>
      <c r="T99" s="87"/>
      <c r="U99" s="87"/>
      <c r="V99" s="87"/>
      <c r="W99" s="87"/>
      <c r="X99" s="53"/>
      <c r="Y99" s="53"/>
      <c r="Z99" s="53"/>
      <c r="AA99" s="53"/>
      <c r="AB99" s="53"/>
      <c r="AC99" s="53"/>
      <c r="AD99" s="53"/>
      <c r="AE99" s="53"/>
      <c r="AF99" s="53"/>
    </row>
    <row r="100" spans="1:32" ht="15" x14ac:dyDescent="0.2">
      <c r="A100" s="59"/>
      <c r="B100" s="53"/>
      <c r="C100" s="53"/>
      <c r="D100" s="53"/>
      <c r="E100" s="53"/>
      <c r="F100" s="84"/>
      <c r="G100" s="85"/>
      <c r="H100" s="85"/>
      <c r="I100" s="85"/>
      <c r="J100" s="85"/>
      <c r="K100" s="86"/>
      <c r="L100" s="86"/>
      <c r="M100" s="86"/>
      <c r="N100" s="87"/>
      <c r="O100" s="87"/>
      <c r="P100" s="87"/>
      <c r="Q100" s="87"/>
      <c r="R100" s="87"/>
      <c r="S100" s="87"/>
      <c r="T100" s="87"/>
      <c r="U100" s="87"/>
      <c r="V100" s="87"/>
      <c r="W100" s="87"/>
      <c r="X100" s="53"/>
      <c r="Y100" s="53"/>
      <c r="Z100" s="53"/>
      <c r="AA100" s="53"/>
      <c r="AB100" s="53"/>
      <c r="AC100" s="53"/>
      <c r="AD100" s="53"/>
      <c r="AE100" s="53"/>
      <c r="AF100" s="53"/>
    </row>
    <row r="101" spans="1:32" ht="15" x14ac:dyDescent="0.2">
      <c r="A101" s="59"/>
      <c r="B101" s="53"/>
      <c r="C101" s="53"/>
      <c r="D101" s="53"/>
      <c r="E101" s="53"/>
      <c r="F101" s="84"/>
      <c r="G101" s="85"/>
      <c r="H101" s="85"/>
      <c r="I101" s="85"/>
      <c r="J101" s="85"/>
      <c r="K101" s="86"/>
      <c r="L101" s="86"/>
      <c r="M101" s="86"/>
      <c r="N101" s="87"/>
      <c r="O101" s="87"/>
      <c r="P101" s="87"/>
      <c r="Q101" s="87"/>
      <c r="R101" s="87"/>
      <c r="S101" s="87"/>
      <c r="T101" s="87"/>
      <c r="U101" s="87"/>
      <c r="V101" s="87"/>
      <c r="W101" s="87"/>
      <c r="X101" s="53"/>
      <c r="Y101" s="53"/>
      <c r="Z101" s="53"/>
      <c r="AA101" s="53"/>
      <c r="AB101" s="53"/>
      <c r="AC101" s="53"/>
      <c r="AD101" s="53"/>
      <c r="AE101" s="53"/>
      <c r="AF101" s="53"/>
    </row>
    <row r="102" spans="1:32" ht="15" x14ac:dyDescent="0.2">
      <c r="A102" s="59"/>
      <c r="B102" s="53"/>
      <c r="C102" s="53"/>
      <c r="D102" s="53"/>
      <c r="E102" s="53"/>
      <c r="F102" s="84"/>
      <c r="G102" s="85"/>
      <c r="H102" s="85"/>
      <c r="I102" s="85"/>
      <c r="J102" s="85"/>
      <c r="K102" s="86"/>
      <c r="L102" s="86"/>
      <c r="M102" s="86"/>
      <c r="N102" s="87"/>
      <c r="O102" s="87"/>
      <c r="P102" s="87"/>
      <c r="Q102" s="87"/>
      <c r="R102" s="87"/>
      <c r="S102" s="87"/>
      <c r="T102" s="87"/>
      <c r="U102" s="87"/>
      <c r="V102" s="87"/>
      <c r="W102" s="87"/>
      <c r="X102" s="53"/>
      <c r="Y102" s="53"/>
      <c r="Z102" s="53"/>
      <c r="AA102" s="53"/>
      <c r="AB102" s="53"/>
      <c r="AC102" s="53"/>
      <c r="AD102" s="53"/>
      <c r="AE102" s="53"/>
      <c r="AF102" s="53"/>
    </row>
    <row r="103" spans="1:32" ht="15" x14ac:dyDescent="0.2">
      <c r="A103" s="59"/>
      <c r="B103" s="53"/>
      <c r="C103" s="53"/>
      <c r="D103" s="53"/>
      <c r="E103" s="53"/>
      <c r="F103" s="84"/>
      <c r="G103" s="85"/>
      <c r="H103" s="85"/>
      <c r="I103" s="85"/>
      <c r="J103" s="85"/>
      <c r="K103" s="86"/>
      <c r="L103" s="86"/>
      <c r="M103" s="86"/>
      <c r="N103" s="87"/>
      <c r="O103" s="87"/>
      <c r="P103" s="87"/>
      <c r="Q103" s="87"/>
      <c r="R103" s="87"/>
      <c r="S103" s="87"/>
      <c r="T103" s="87"/>
      <c r="U103" s="87"/>
      <c r="V103" s="87"/>
      <c r="W103" s="87"/>
      <c r="X103" s="53"/>
      <c r="Y103" s="53"/>
      <c r="Z103" s="53"/>
      <c r="AA103" s="53"/>
      <c r="AB103" s="53"/>
      <c r="AC103" s="53"/>
      <c r="AD103" s="53"/>
      <c r="AE103" s="53"/>
      <c r="AF103" s="53"/>
    </row>
    <row r="104" spans="1:32" ht="15" x14ac:dyDescent="0.2">
      <c r="A104" s="59"/>
      <c r="B104" s="53"/>
      <c r="C104" s="53"/>
      <c r="D104" s="53"/>
      <c r="E104" s="53"/>
      <c r="F104" s="84"/>
      <c r="G104" s="85"/>
      <c r="H104" s="85"/>
      <c r="I104" s="85"/>
      <c r="J104" s="85"/>
      <c r="K104" s="86"/>
      <c r="L104" s="86"/>
      <c r="M104" s="86"/>
      <c r="N104" s="87"/>
      <c r="O104" s="87"/>
      <c r="P104" s="87"/>
      <c r="Q104" s="87"/>
      <c r="R104" s="87"/>
      <c r="S104" s="87"/>
      <c r="T104" s="87"/>
      <c r="U104" s="87"/>
      <c r="V104" s="87"/>
      <c r="W104" s="87"/>
      <c r="X104" s="53"/>
      <c r="Y104" s="53"/>
      <c r="Z104" s="53"/>
      <c r="AA104" s="53"/>
      <c r="AB104" s="53"/>
      <c r="AC104" s="53"/>
      <c r="AD104" s="53"/>
      <c r="AE104" s="53"/>
      <c r="AF104" s="53"/>
    </row>
    <row r="105" spans="1:32" ht="15" x14ac:dyDescent="0.2">
      <c r="A105" s="59"/>
      <c r="B105" s="53"/>
      <c r="C105" s="53"/>
      <c r="D105" s="53"/>
      <c r="E105" s="53"/>
      <c r="F105" s="84"/>
      <c r="G105" s="85"/>
      <c r="H105" s="85"/>
      <c r="I105" s="85"/>
      <c r="J105" s="85"/>
      <c r="K105" s="86"/>
      <c r="L105" s="86"/>
      <c r="M105" s="86"/>
      <c r="N105" s="87"/>
      <c r="O105" s="87"/>
      <c r="P105" s="87"/>
      <c r="Q105" s="87"/>
      <c r="R105" s="87"/>
      <c r="S105" s="87"/>
      <c r="T105" s="87"/>
      <c r="U105" s="87"/>
      <c r="V105" s="87"/>
      <c r="W105" s="87"/>
      <c r="X105" s="53"/>
      <c r="Y105" s="53"/>
      <c r="Z105" s="53"/>
      <c r="AA105" s="53"/>
      <c r="AB105" s="53"/>
      <c r="AC105" s="53"/>
      <c r="AD105" s="53"/>
      <c r="AE105" s="53"/>
      <c r="AF105" s="53"/>
    </row>
    <row r="106" spans="1:32" ht="15" x14ac:dyDescent="0.2">
      <c r="A106" s="59"/>
      <c r="B106" s="53"/>
      <c r="C106" s="53"/>
      <c r="D106" s="53"/>
      <c r="E106" s="53"/>
      <c r="F106" s="84"/>
      <c r="G106" s="85"/>
      <c r="H106" s="85"/>
      <c r="I106" s="85"/>
      <c r="J106" s="85"/>
      <c r="K106" s="86"/>
      <c r="L106" s="86"/>
      <c r="M106" s="86"/>
      <c r="N106" s="87"/>
      <c r="O106" s="87"/>
      <c r="P106" s="87"/>
      <c r="Q106" s="87"/>
      <c r="R106" s="87"/>
      <c r="S106" s="87"/>
      <c r="T106" s="87"/>
      <c r="U106" s="87"/>
      <c r="V106" s="87"/>
      <c r="W106" s="87"/>
      <c r="X106" s="53"/>
      <c r="Y106" s="53"/>
      <c r="Z106" s="53"/>
      <c r="AA106" s="53"/>
      <c r="AB106" s="53"/>
      <c r="AC106" s="53"/>
      <c r="AD106" s="53"/>
      <c r="AE106" s="53"/>
      <c r="AF106" s="53"/>
    </row>
    <row r="107" spans="1:32" ht="15" x14ac:dyDescent="0.2">
      <c r="A107" s="59"/>
      <c r="B107" s="53"/>
      <c r="C107" s="53"/>
      <c r="D107" s="53"/>
      <c r="E107" s="53"/>
      <c r="F107" s="84"/>
      <c r="G107" s="85"/>
      <c r="H107" s="85"/>
      <c r="I107" s="85"/>
      <c r="J107" s="85"/>
      <c r="K107" s="86"/>
      <c r="L107" s="86"/>
      <c r="M107" s="86"/>
      <c r="N107" s="87"/>
      <c r="O107" s="87"/>
      <c r="P107" s="87"/>
      <c r="Q107" s="87"/>
      <c r="R107" s="87"/>
      <c r="S107" s="87"/>
      <c r="T107" s="87"/>
      <c r="U107" s="87"/>
      <c r="V107" s="87"/>
      <c r="W107" s="87"/>
      <c r="X107" s="53"/>
      <c r="Y107" s="53"/>
      <c r="Z107" s="53"/>
      <c r="AA107" s="53"/>
      <c r="AB107" s="53"/>
      <c r="AC107" s="53"/>
      <c r="AD107" s="53"/>
      <c r="AE107" s="53"/>
      <c r="AF107" s="53"/>
    </row>
    <row r="108" spans="1:32" ht="15" x14ac:dyDescent="0.2">
      <c r="A108" s="59"/>
      <c r="B108" s="53"/>
      <c r="C108" s="53"/>
      <c r="D108" s="53"/>
      <c r="E108" s="53"/>
      <c r="F108" s="84"/>
      <c r="G108" s="85"/>
      <c r="H108" s="85"/>
      <c r="I108" s="85"/>
      <c r="J108" s="85"/>
      <c r="K108" s="86"/>
      <c r="L108" s="86"/>
      <c r="M108" s="86"/>
      <c r="N108" s="87"/>
      <c r="O108" s="87"/>
      <c r="P108" s="87"/>
      <c r="Q108" s="87"/>
      <c r="R108" s="87"/>
      <c r="S108" s="87"/>
      <c r="T108" s="87"/>
      <c r="U108" s="87"/>
      <c r="V108" s="87"/>
      <c r="W108" s="87"/>
      <c r="X108" s="53"/>
      <c r="Y108" s="53"/>
      <c r="Z108" s="53"/>
      <c r="AA108" s="53"/>
      <c r="AB108" s="53"/>
      <c r="AC108" s="53"/>
      <c r="AD108" s="53"/>
      <c r="AE108" s="53"/>
      <c r="AF108" s="53"/>
    </row>
    <row r="109" spans="1:32" ht="15" x14ac:dyDescent="0.2">
      <c r="A109" s="59"/>
      <c r="B109" s="53"/>
      <c r="C109" s="53"/>
      <c r="D109" s="53"/>
      <c r="E109" s="53"/>
      <c r="F109" s="84"/>
      <c r="G109" s="85"/>
      <c r="H109" s="85"/>
      <c r="I109" s="85"/>
      <c r="J109" s="85"/>
      <c r="K109" s="86"/>
      <c r="L109" s="86"/>
      <c r="M109" s="86"/>
      <c r="N109" s="87"/>
      <c r="O109" s="87"/>
      <c r="P109" s="87"/>
      <c r="Q109" s="87"/>
      <c r="R109" s="87"/>
      <c r="S109" s="87"/>
      <c r="T109" s="87"/>
      <c r="U109" s="87"/>
      <c r="V109" s="87"/>
      <c r="W109" s="87"/>
      <c r="X109" s="53"/>
      <c r="Y109" s="53"/>
      <c r="Z109" s="53"/>
      <c r="AA109" s="53"/>
      <c r="AB109" s="53"/>
      <c r="AC109" s="53"/>
      <c r="AD109" s="53"/>
      <c r="AE109" s="53"/>
      <c r="AF109" s="53"/>
    </row>
    <row r="110" spans="1:32" ht="15" x14ac:dyDescent="0.2">
      <c r="A110" s="59"/>
      <c r="B110" s="53"/>
      <c r="C110" s="53"/>
      <c r="D110" s="53"/>
      <c r="E110" s="53"/>
      <c r="F110" s="84"/>
      <c r="G110" s="85"/>
      <c r="H110" s="85"/>
      <c r="I110" s="85"/>
      <c r="J110" s="85"/>
      <c r="K110" s="86"/>
      <c r="L110" s="86"/>
      <c r="M110" s="86"/>
      <c r="N110" s="87"/>
      <c r="O110" s="87"/>
      <c r="P110" s="87"/>
      <c r="Q110" s="87"/>
      <c r="R110" s="87"/>
      <c r="S110" s="87"/>
      <c r="T110" s="87"/>
      <c r="U110" s="87"/>
      <c r="V110" s="87"/>
      <c r="W110" s="87"/>
      <c r="X110" s="53"/>
      <c r="Y110" s="53"/>
      <c r="Z110" s="53"/>
      <c r="AA110" s="53"/>
      <c r="AB110" s="53"/>
      <c r="AC110" s="53"/>
      <c r="AD110" s="53"/>
      <c r="AE110" s="53"/>
      <c r="AF110" s="53"/>
    </row>
    <row r="111" spans="1:32" ht="15" x14ac:dyDescent="0.2">
      <c r="A111" s="59"/>
      <c r="B111" s="53"/>
      <c r="C111" s="53"/>
      <c r="D111" s="53"/>
      <c r="E111" s="53"/>
      <c r="F111" s="84"/>
      <c r="G111" s="85"/>
      <c r="H111" s="85"/>
      <c r="I111" s="85"/>
      <c r="J111" s="85"/>
      <c r="K111" s="86"/>
      <c r="L111" s="86"/>
      <c r="M111" s="86"/>
      <c r="N111" s="87"/>
      <c r="O111" s="87"/>
      <c r="P111" s="87"/>
      <c r="Q111" s="87"/>
      <c r="R111" s="87"/>
      <c r="S111" s="87"/>
      <c r="T111" s="87"/>
      <c r="U111" s="87"/>
      <c r="V111" s="87"/>
      <c r="W111" s="87"/>
      <c r="X111" s="53"/>
      <c r="Y111" s="53"/>
      <c r="Z111" s="53"/>
      <c r="AA111" s="53"/>
      <c r="AB111" s="53"/>
      <c r="AC111" s="53"/>
      <c r="AD111" s="53"/>
      <c r="AE111" s="53"/>
      <c r="AF111" s="53"/>
    </row>
    <row r="112" spans="1:32" ht="15" x14ac:dyDescent="0.2">
      <c r="A112" s="59"/>
      <c r="B112" s="53"/>
      <c r="C112" s="53"/>
      <c r="D112" s="53"/>
      <c r="E112" s="53"/>
      <c r="F112" s="84"/>
      <c r="G112" s="85"/>
      <c r="H112" s="85"/>
      <c r="I112" s="85"/>
      <c r="J112" s="85"/>
      <c r="K112" s="86"/>
      <c r="L112" s="86"/>
      <c r="M112" s="86"/>
      <c r="N112" s="87"/>
      <c r="O112" s="87"/>
      <c r="P112" s="87"/>
      <c r="Q112" s="87"/>
      <c r="R112" s="87"/>
      <c r="S112" s="87"/>
      <c r="T112" s="87"/>
      <c r="U112" s="87"/>
      <c r="V112" s="87"/>
      <c r="W112" s="87"/>
      <c r="X112" s="53"/>
      <c r="Y112" s="53"/>
      <c r="Z112" s="53"/>
      <c r="AA112" s="53"/>
      <c r="AB112" s="53"/>
      <c r="AC112" s="53"/>
      <c r="AD112" s="53"/>
      <c r="AE112" s="53"/>
      <c r="AF112" s="53"/>
    </row>
    <row r="113" spans="1:32" ht="15" x14ac:dyDescent="0.2">
      <c r="A113" s="59"/>
      <c r="B113" s="53"/>
      <c r="C113" s="53"/>
      <c r="D113" s="53"/>
      <c r="E113" s="53"/>
      <c r="F113" s="84"/>
      <c r="G113" s="85"/>
      <c r="H113" s="85"/>
      <c r="I113" s="85"/>
      <c r="J113" s="85"/>
      <c r="K113" s="86"/>
      <c r="L113" s="86"/>
      <c r="M113" s="86"/>
      <c r="N113" s="87"/>
      <c r="O113" s="87"/>
      <c r="P113" s="87"/>
      <c r="Q113" s="87"/>
      <c r="R113" s="87"/>
      <c r="S113" s="87"/>
      <c r="T113" s="87"/>
      <c r="U113" s="87"/>
      <c r="V113" s="87"/>
      <c r="W113" s="87"/>
      <c r="X113" s="53"/>
      <c r="Y113" s="53"/>
      <c r="Z113" s="53"/>
      <c r="AA113" s="53"/>
      <c r="AB113" s="53"/>
      <c r="AC113" s="53"/>
      <c r="AD113" s="53"/>
      <c r="AE113" s="53"/>
      <c r="AF113" s="53"/>
    </row>
    <row r="114" spans="1:32" ht="15" x14ac:dyDescent="0.2">
      <c r="A114" s="59"/>
      <c r="B114" s="53"/>
      <c r="C114" s="53"/>
      <c r="D114" s="53"/>
      <c r="E114" s="53"/>
      <c r="F114" s="84"/>
      <c r="G114" s="85"/>
      <c r="H114" s="85"/>
      <c r="I114" s="85"/>
      <c r="J114" s="85"/>
      <c r="K114" s="86"/>
      <c r="L114" s="86"/>
      <c r="M114" s="86"/>
      <c r="N114" s="87"/>
      <c r="O114" s="87"/>
      <c r="P114" s="87"/>
      <c r="Q114" s="87"/>
      <c r="R114" s="87"/>
      <c r="S114" s="87"/>
      <c r="T114" s="87"/>
      <c r="U114" s="87"/>
      <c r="V114" s="87"/>
      <c r="W114" s="87"/>
      <c r="X114" s="53"/>
      <c r="Y114" s="53"/>
      <c r="Z114" s="53"/>
      <c r="AA114" s="53"/>
      <c r="AB114" s="53"/>
      <c r="AC114" s="53"/>
      <c r="AD114" s="53"/>
      <c r="AE114" s="53"/>
      <c r="AF114" s="53"/>
    </row>
    <row r="115" spans="1:32" ht="15" x14ac:dyDescent="0.2">
      <c r="A115" s="59"/>
      <c r="B115" s="53"/>
      <c r="C115" s="53"/>
      <c r="D115" s="53"/>
      <c r="E115" s="53"/>
      <c r="F115" s="84"/>
      <c r="G115" s="85"/>
      <c r="H115" s="85"/>
      <c r="I115" s="85"/>
      <c r="J115" s="85"/>
      <c r="K115" s="86"/>
      <c r="L115" s="86"/>
      <c r="M115" s="86"/>
      <c r="N115" s="87"/>
      <c r="O115" s="87"/>
      <c r="P115" s="87"/>
      <c r="Q115" s="87"/>
      <c r="R115" s="87"/>
      <c r="S115" s="87"/>
      <c r="T115" s="87"/>
      <c r="U115" s="87"/>
      <c r="V115" s="87"/>
      <c r="W115" s="87"/>
      <c r="X115" s="53"/>
      <c r="Y115" s="53"/>
      <c r="Z115" s="53"/>
      <c r="AA115" s="53"/>
      <c r="AB115" s="53"/>
      <c r="AC115" s="53"/>
      <c r="AD115" s="53"/>
      <c r="AE115" s="53"/>
      <c r="AF115" s="53"/>
    </row>
    <row r="116" spans="1:32" ht="15" x14ac:dyDescent="0.2">
      <c r="A116" s="59"/>
      <c r="B116" s="53"/>
      <c r="C116" s="53"/>
      <c r="D116" s="53"/>
      <c r="E116" s="53"/>
      <c r="F116" s="84"/>
      <c r="G116" s="85"/>
      <c r="H116" s="85"/>
      <c r="I116" s="85"/>
      <c r="J116" s="85"/>
      <c r="K116" s="86"/>
      <c r="L116" s="86"/>
      <c r="M116" s="86"/>
      <c r="N116" s="87"/>
      <c r="O116" s="87"/>
      <c r="P116" s="87"/>
      <c r="Q116" s="87"/>
      <c r="R116" s="87"/>
      <c r="S116" s="87"/>
      <c r="T116" s="87"/>
      <c r="U116" s="87"/>
      <c r="V116" s="87"/>
      <c r="W116" s="87"/>
      <c r="X116" s="53"/>
      <c r="Y116" s="53"/>
      <c r="Z116" s="53"/>
      <c r="AA116" s="53"/>
      <c r="AB116" s="53"/>
      <c r="AC116" s="53"/>
      <c r="AD116" s="53"/>
      <c r="AE116" s="53"/>
      <c r="AF116" s="53"/>
    </row>
    <row r="117" spans="1:32" ht="15" x14ac:dyDescent="0.2">
      <c r="A117" s="59"/>
      <c r="B117" s="53"/>
      <c r="C117" s="53"/>
      <c r="D117" s="53"/>
      <c r="E117" s="53"/>
      <c r="F117" s="84"/>
      <c r="G117" s="85"/>
      <c r="H117" s="85"/>
      <c r="I117" s="85"/>
      <c r="J117" s="85"/>
      <c r="K117" s="86"/>
      <c r="L117" s="86"/>
      <c r="M117" s="86"/>
      <c r="N117" s="87"/>
      <c r="O117" s="87"/>
      <c r="P117" s="87"/>
      <c r="Q117" s="87"/>
      <c r="R117" s="87"/>
      <c r="S117" s="87"/>
      <c r="T117" s="87"/>
      <c r="U117" s="87"/>
      <c r="V117" s="87"/>
      <c r="W117" s="87"/>
      <c r="X117" s="53"/>
      <c r="Y117" s="53"/>
      <c r="Z117" s="53"/>
      <c r="AA117" s="53"/>
      <c r="AB117" s="53"/>
      <c r="AC117" s="53"/>
      <c r="AD117" s="53"/>
      <c r="AE117" s="53"/>
      <c r="AF117" s="53"/>
    </row>
    <row r="118" spans="1:32" ht="15" x14ac:dyDescent="0.2">
      <c r="A118" s="59"/>
      <c r="B118" s="53"/>
      <c r="C118" s="53"/>
      <c r="D118" s="53"/>
      <c r="E118" s="53"/>
      <c r="F118" s="84"/>
      <c r="G118" s="85"/>
      <c r="H118" s="85"/>
      <c r="I118" s="85"/>
      <c r="J118" s="85"/>
      <c r="K118" s="86"/>
      <c r="L118" s="86"/>
      <c r="M118" s="86"/>
      <c r="N118" s="87"/>
      <c r="O118" s="87"/>
      <c r="P118" s="87"/>
      <c r="Q118" s="87"/>
      <c r="R118" s="87"/>
      <c r="S118" s="87"/>
      <c r="T118" s="87"/>
      <c r="U118" s="87"/>
      <c r="V118" s="87"/>
      <c r="W118" s="87"/>
      <c r="X118" s="53"/>
      <c r="Y118" s="53"/>
      <c r="Z118" s="53"/>
      <c r="AA118" s="53"/>
      <c r="AB118" s="53"/>
      <c r="AC118" s="53"/>
      <c r="AD118" s="53"/>
      <c r="AE118" s="53"/>
      <c r="AF118" s="53"/>
    </row>
    <row r="119" spans="1:32" ht="15" x14ac:dyDescent="0.2">
      <c r="A119" s="59"/>
      <c r="B119" s="53"/>
      <c r="C119" s="53"/>
      <c r="D119" s="53"/>
      <c r="E119" s="53"/>
      <c r="F119" s="84"/>
      <c r="G119" s="85"/>
      <c r="H119" s="85"/>
      <c r="I119" s="85"/>
      <c r="J119" s="85"/>
      <c r="K119" s="86"/>
      <c r="L119" s="86"/>
      <c r="M119" s="86"/>
      <c r="N119" s="87"/>
      <c r="O119" s="87"/>
      <c r="P119" s="87"/>
      <c r="Q119" s="87"/>
      <c r="R119" s="87"/>
      <c r="S119" s="87"/>
      <c r="T119" s="87"/>
      <c r="U119" s="87"/>
      <c r="V119" s="87"/>
      <c r="W119" s="87"/>
      <c r="X119" s="53"/>
      <c r="Y119" s="53"/>
      <c r="Z119" s="53"/>
      <c r="AA119" s="53"/>
      <c r="AB119" s="53"/>
      <c r="AC119" s="53"/>
      <c r="AD119" s="53"/>
      <c r="AE119" s="53"/>
      <c r="AF119" s="53"/>
    </row>
    <row r="120" spans="1:32" ht="15" x14ac:dyDescent="0.2">
      <c r="A120" s="59"/>
      <c r="B120" s="53"/>
      <c r="C120" s="53"/>
      <c r="D120" s="53"/>
      <c r="E120" s="53"/>
      <c r="F120" s="84"/>
      <c r="G120" s="85"/>
      <c r="H120" s="85"/>
      <c r="I120" s="85"/>
      <c r="J120" s="85"/>
      <c r="K120" s="86"/>
      <c r="L120" s="86"/>
      <c r="M120" s="86"/>
      <c r="N120" s="87"/>
      <c r="O120" s="87"/>
      <c r="P120" s="87"/>
      <c r="Q120" s="87"/>
      <c r="R120" s="87"/>
      <c r="S120" s="87"/>
      <c r="T120" s="87"/>
      <c r="U120" s="87"/>
      <c r="V120" s="87"/>
      <c r="W120" s="87"/>
      <c r="X120" s="53"/>
      <c r="Y120" s="53"/>
      <c r="Z120" s="53"/>
      <c r="AA120" s="53"/>
      <c r="AB120" s="53"/>
      <c r="AC120" s="53"/>
      <c r="AD120" s="53"/>
      <c r="AE120" s="53"/>
      <c r="AF120" s="53"/>
    </row>
    <row r="121" spans="1:32" ht="15" x14ac:dyDescent="0.2">
      <c r="A121" s="59"/>
      <c r="B121" s="53"/>
      <c r="C121" s="53"/>
      <c r="D121" s="53"/>
      <c r="E121" s="53"/>
      <c r="F121" s="84"/>
      <c r="G121" s="85"/>
      <c r="H121" s="85"/>
      <c r="I121" s="85"/>
      <c r="J121" s="85"/>
      <c r="K121" s="86"/>
      <c r="L121" s="86"/>
      <c r="M121" s="86"/>
      <c r="N121" s="87"/>
      <c r="O121" s="87"/>
      <c r="P121" s="87"/>
      <c r="Q121" s="87"/>
      <c r="R121" s="87"/>
      <c r="S121" s="87"/>
      <c r="T121" s="87"/>
      <c r="U121" s="87"/>
      <c r="V121" s="87"/>
      <c r="W121" s="87"/>
      <c r="X121" s="53"/>
      <c r="Y121" s="53"/>
      <c r="Z121" s="53"/>
      <c r="AA121" s="53"/>
      <c r="AB121" s="53"/>
      <c r="AC121" s="53"/>
      <c r="AD121" s="53"/>
      <c r="AE121" s="53"/>
      <c r="AF121" s="53"/>
    </row>
    <row r="122" spans="1:32" ht="15" x14ac:dyDescent="0.2">
      <c r="A122" s="59"/>
      <c r="B122" s="53"/>
      <c r="C122" s="53"/>
      <c r="D122" s="53"/>
      <c r="E122" s="53"/>
      <c r="F122" s="84"/>
      <c r="G122" s="85"/>
      <c r="H122" s="85"/>
      <c r="I122" s="85"/>
      <c r="J122" s="85"/>
      <c r="K122" s="86"/>
      <c r="L122" s="86"/>
      <c r="M122" s="86"/>
      <c r="N122" s="87"/>
      <c r="O122" s="87"/>
      <c r="P122" s="87"/>
      <c r="Q122" s="87"/>
      <c r="R122" s="87"/>
      <c r="S122" s="87"/>
      <c r="T122" s="87"/>
      <c r="U122" s="87"/>
      <c r="V122" s="87"/>
      <c r="W122" s="87"/>
      <c r="X122" s="53"/>
      <c r="Y122" s="53"/>
      <c r="Z122" s="53"/>
      <c r="AA122" s="53"/>
      <c r="AB122" s="53"/>
      <c r="AC122" s="53"/>
      <c r="AD122" s="53"/>
      <c r="AE122" s="53"/>
      <c r="AF122" s="53"/>
    </row>
    <row r="123" spans="1:32" ht="15" x14ac:dyDescent="0.2">
      <c r="A123" s="59"/>
      <c r="B123" s="53"/>
      <c r="C123" s="53"/>
      <c r="D123" s="53"/>
      <c r="E123" s="53"/>
      <c r="F123" s="84"/>
      <c r="G123" s="85"/>
      <c r="H123" s="85"/>
      <c r="I123" s="85"/>
      <c r="J123" s="85"/>
      <c r="K123" s="86"/>
      <c r="L123" s="86"/>
      <c r="M123" s="86"/>
      <c r="N123" s="87"/>
      <c r="O123" s="87"/>
      <c r="P123" s="87"/>
      <c r="Q123" s="87"/>
      <c r="R123" s="87"/>
      <c r="S123" s="87"/>
      <c r="T123" s="87"/>
      <c r="U123" s="87"/>
      <c r="V123" s="87"/>
      <c r="W123" s="87"/>
      <c r="X123" s="53"/>
      <c r="Y123" s="53"/>
      <c r="Z123" s="53"/>
      <c r="AA123" s="53"/>
      <c r="AB123" s="53"/>
      <c r="AC123" s="53"/>
      <c r="AD123" s="53"/>
      <c r="AE123" s="53"/>
      <c r="AF123" s="53"/>
    </row>
    <row r="124" spans="1:32" ht="15" x14ac:dyDescent="0.2">
      <c r="A124" s="59"/>
      <c r="B124" s="53"/>
      <c r="C124" s="53"/>
      <c r="D124" s="53"/>
      <c r="E124" s="53"/>
      <c r="F124" s="84"/>
      <c r="G124" s="85"/>
      <c r="H124" s="85"/>
      <c r="I124" s="85"/>
      <c r="J124" s="85"/>
      <c r="K124" s="86"/>
      <c r="L124" s="86"/>
      <c r="M124" s="86"/>
      <c r="N124" s="87"/>
      <c r="O124" s="87"/>
      <c r="P124" s="87"/>
      <c r="Q124" s="87"/>
      <c r="R124" s="87"/>
      <c r="S124" s="87"/>
      <c r="T124" s="87"/>
      <c r="U124" s="87"/>
      <c r="V124" s="87"/>
      <c r="W124" s="87"/>
      <c r="X124" s="53"/>
      <c r="Y124" s="53"/>
      <c r="Z124" s="53"/>
      <c r="AA124" s="53"/>
      <c r="AB124" s="53"/>
      <c r="AC124" s="53"/>
      <c r="AD124" s="53"/>
      <c r="AE124" s="53"/>
      <c r="AF124" s="53"/>
    </row>
    <row r="125" spans="1:32" ht="15" x14ac:dyDescent="0.2">
      <c r="A125" s="59"/>
      <c r="B125" s="53"/>
      <c r="C125" s="53"/>
      <c r="D125" s="53"/>
      <c r="E125" s="53"/>
      <c r="F125" s="84"/>
      <c r="G125" s="85"/>
      <c r="H125" s="85"/>
      <c r="I125" s="85"/>
      <c r="J125" s="85"/>
      <c r="K125" s="86"/>
      <c r="L125" s="86"/>
      <c r="M125" s="86"/>
      <c r="N125" s="87"/>
      <c r="O125" s="87"/>
      <c r="P125" s="87"/>
      <c r="Q125" s="87"/>
      <c r="R125" s="87"/>
      <c r="S125" s="87"/>
      <c r="T125" s="87"/>
      <c r="U125" s="87"/>
      <c r="V125" s="87"/>
      <c r="W125" s="87"/>
      <c r="X125" s="53"/>
      <c r="Y125" s="53"/>
      <c r="Z125" s="53"/>
      <c r="AA125" s="53"/>
      <c r="AB125" s="53"/>
      <c r="AC125" s="53"/>
      <c r="AD125" s="53"/>
      <c r="AE125" s="53"/>
      <c r="AF125" s="53"/>
    </row>
    <row r="126" spans="1:32" ht="15" x14ac:dyDescent="0.2">
      <c r="A126" s="59"/>
      <c r="B126" s="53"/>
      <c r="C126" s="53"/>
      <c r="D126" s="53"/>
      <c r="E126" s="53"/>
      <c r="F126" s="84"/>
      <c r="G126" s="85"/>
      <c r="H126" s="85"/>
      <c r="I126" s="85"/>
      <c r="J126" s="85"/>
      <c r="K126" s="86"/>
      <c r="L126" s="86"/>
      <c r="M126" s="86"/>
      <c r="N126" s="87"/>
      <c r="O126" s="87"/>
      <c r="P126" s="87"/>
      <c r="Q126" s="87"/>
      <c r="R126" s="87"/>
      <c r="S126" s="87"/>
      <c r="T126" s="87"/>
      <c r="U126" s="87"/>
      <c r="V126" s="87"/>
      <c r="W126" s="87"/>
      <c r="X126" s="53"/>
      <c r="Y126" s="53"/>
      <c r="Z126" s="53"/>
      <c r="AA126" s="53"/>
      <c r="AB126" s="53"/>
      <c r="AC126" s="53"/>
      <c r="AD126" s="53"/>
      <c r="AE126" s="53"/>
      <c r="AF126" s="53"/>
    </row>
  </sheetData>
  <mergeCells count="1">
    <mergeCell ref="B2:AF6"/>
  </mergeCells>
  <dataValidations count="1">
    <dataValidation type="list" allowBlank="1" showInputMessage="1" showErrorMessage="1" sqref="B11:B13" xr:uid="{00000000-0002-0000-0800-000000000000}">
      <formula1>$AJ$199:$AJ$208</formula1>
    </dataValidation>
  </dataValidations>
  <pageMargins left="0.7" right="0.7" top="0.75" bottom="0.75" header="0.3" footer="0.3"/>
  <pageSetup scale="25" orientation="landscape"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0" tint="-0.499984740745262"/>
    <pageSetUpPr fitToPage="1"/>
  </sheetPr>
  <dimension ref="A1:R67"/>
  <sheetViews>
    <sheetView showWhiteSpace="0" zoomScaleNormal="100" zoomScalePageLayoutView="80" workbookViewId="0">
      <selection activeCell="B9" sqref="B9:E10"/>
    </sheetView>
  </sheetViews>
  <sheetFormatPr defaultRowHeight="15" x14ac:dyDescent="0.25"/>
  <cols>
    <col min="2" max="2" width="9.140625" customWidth="1"/>
    <col min="4" max="5" width="9.140625" customWidth="1"/>
    <col min="18" max="18" width="10.28515625" customWidth="1"/>
  </cols>
  <sheetData>
    <row r="1" spans="1:18" ht="15" customHeight="1" thickTop="1" thickBot="1" x14ac:dyDescent="0.3">
      <c r="A1" s="36"/>
      <c r="B1" s="78"/>
      <c r="C1" s="78"/>
      <c r="D1" s="78"/>
      <c r="E1" s="78"/>
      <c r="F1" s="78"/>
      <c r="G1" s="78"/>
      <c r="H1" s="78"/>
      <c r="I1" s="78"/>
      <c r="J1" s="78"/>
      <c r="K1" s="78"/>
      <c r="L1" s="78"/>
      <c r="M1" s="78"/>
      <c r="N1" s="78"/>
      <c r="O1" s="78"/>
      <c r="P1" s="78"/>
      <c r="Q1" s="78"/>
      <c r="R1" s="79"/>
    </row>
    <row r="2" spans="1:18" ht="15" customHeight="1" x14ac:dyDescent="0.25">
      <c r="A2" s="210"/>
      <c r="B2" s="566" t="s">
        <v>142</v>
      </c>
      <c r="C2" s="567"/>
      <c r="D2" s="567"/>
      <c r="E2" s="567"/>
      <c r="F2" s="567"/>
      <c r="G2" s="567"/>
      <c r="H2" s="567"/>
      <c r="I2" s="567"/>
      <c r="J2" s="567"/>
      <c r="K2" s="567"/>
      <c r="L2" s="567"/>
      <c r="M2" s="567"/>
      <c r="N2" s="567"/>
      <c r="O2" s="567"/>
      <c r="P2" s="567"/>
      <c r="Q2" s="568"/>
      <c r="R2" s="81"/>
    </row>
    <row r="3" spans="1:18" ht="15" customHeight="1" x14ac:dyDescent="0.25">
      <c r="A3" s="210"/>
      <c r="B3" s="569"/>
      <c r="C3" s="570"/>
      <c r="D3" s="570"/>
      <c r="E3" s="570"/>
      <c r="F3" s="570"/>
      <c r="G3" s="570"/>
      <c r="H3" s="570"/>
      <c r="I3" s="570"/>
      <c r="J3" s="570"/>
      <c r="K3" s="570"/>
      <c r="L3" s="570"/>
      <c r="M3" s="570"/>
      <c r="N3" s="570"/>
      <c r="O3" s="570"/>
      <c r="P3" s="570"/>
      <c r="Q3" s="571"/>
      <c r="R3" s="81"/>
    </row>
    <row r="4" spans="1:18" ht="15" customHeight="1" x14ac:dyDescent="0.25">
      <c r="A4" s="210"/>
      <c r="B4" s="569"/>
      <c r="C4" s="570"/>
      <c r="D4" s="570"/>
      <c r="E4" s="570"/>
      <c r="F4" s="570"/>
      <c r="G4" s="570"/>
      <c r="H4" s="570"/>
      <c r="I4" s="570"/>
      <c r="J4" s="570"/>
      <c r="K4" s="570"/>
      <c r="L4" s="570"/>
      <c r="M4" s="570"/>
      <c r="N4" s="570"/>
      <c r="O4" s="570"/>
      <c r="P4" s="570"/>
      <c r="Q4" s="571"/>
      <c r="R4" s="81"/>
    </row>
    <row r="5" spans="1:18" ht="15" customHeight="1" thickBot="1" x14ac:dyDescent="0.3">
      <c r="A5" s="210"/>
      <c r="B5" s="572"/>
      <c r="C5" s="573"/>
      <c r="D5" s="573"/>
      <c r="E5" s="573"/>
      <c r="F5" s="573"/>
      <c r="G5" s="573"/>
      <c r="H5" s="573"/>
      <c r="I5" s="573"/>
      <c r="J5" s="573"/>
      <c r="K5" s="573"/>
      <c r="L5" s="573"/>
      <c r="M5" s="573"/>
      <c r="N5" s="573"/>
      <c r="O5" s="573"/>
      <c r="P5" s="573"/>
      <c r="Q5" s="574"/>
      <c r="R5" s="81"/>
    </row>
    <row r="6" spans="1:18" ht="15.75" customHeight="1" thickBot="1" x14ac:dyDescent="0.3">
      <c r="A6" s="39"/>
      <c r="B6" s="80"/>
      <c r="C6" s="80"/>
      <c r="D6" s="80"/>
      <c r="E6" s="80"/>
      <c r="F6" s="80"/>
      <c r="G6" s="80"/>
      <c r="H6" s="80"/>
      <c r="I6" s="80"/>
      <c r="J6" s="80"/>
      <c r="K6" s="80"/>
      <c r="L6" s="80"/>
      <c r="M6" s="80"/>
      <c r="N6" s="80"/>
      <c r="O6" s="80"/>
      <c r="P6" s="80"/>
      <c r="Q6" s="80"/>
      <c r="R6" s="81"/>
    </row>
    <row r="7" spans="1:18" ht="15" customHeight="1" x14ac:dyDescent="0.25">
      <c r="A7" s="210"/>
      <c r="B7" s="576" t="s">
        <v>11</v>
      </c>
      <c r="C7" s="515"/>
      <c r="D7" s="515"/>
      <c r="E7" s="516"/>
      <c r="F7" s="577" t="s">
        <v>0</v>
      </c>
      <c r="G7" s="515"/>
      <c r="H7" s="515"/>
      <c r="I7" s="516"/>
      <c r="J7" s="577" t="s">
        <v>12</v>
      </c>
      <c r="K7" s="515"/>
      <c r="L7" s="515"/>
      <c r="M7" s="516"/>
      <c r="N7" s="514" t="s">
        <v>13</v>
      </c>
      <c r="O7" s="515"/>
      <c r="P7" s="515"/>
      <c r="Q7" s="515"/>
      <c r="R7" s="205"/>
    </row>
    <row r="8" spans="1:18" ht="15.75" thickBot="1" x14ac:dyDescent="0.3">
      <c r="A8" s="210"/>
      <c r="B8" s="521"/>
      <c r="C8" s="521"/>
      <c r="D8" s="521"/>
      <c r="E8" s="522"/>
      <c r="F8" s="520"/>
      <c r="G8" s="521"/>
      <c r="H8" s="521"/>
      <c r="I8" s="522"/>
      <c r="J8" s="520"/>
      <c r="K8" s="521"/>
      <c r="L8" s="521"/>
      <c r="M8" s="522"/>
      <c r="N8" s="520"/>
      <c r="O8" s="521"/>
      <c r="P8" s="521"/>
      <c r="Q8" s="521"/>
      <c r="R8" s="205"/>
    </row>
    <row r="9" spans="1:18" x14ac:dyDescent="0.25">
      <c r="A9" s="210"/>
      <c r="B9" s="576" t="s">
        <v>14</v>
      </c>
      <c r="C9" s="515"/>
      <c r="D9" s="515"/>
      <c r="E9" s="516"/>
      <c r="F9" s="514" t="s">
        <v>15</v>
      </c>
      <c r="G9" s="515"/>
      <c r="H9" s="515"/>
      <c r="I9" s="516"/>
      <c r="J9" s="577" t="s">
        <v>2</v>
      </c>
      <c r="K9" s="515"/>
      <c r="L9" s="515"/>
      <c r="M9" s="516"/>
      <c r="N9" s="577" t="s">
        <v>16</v>
      </c>
      <c r="O9" s="576"/>
      <c r="P9" s="576"/>
      <c r="Q9" s="576"/>
      <c r="R9" s="206"/>
    </row>
    <row r="10" spans="1:18" ht="15.75" thickBot="1" x14ac:dyDescent="0.3">
      <c r="A10" s="210"/>
      <c r="B10" s="521"/>
      <c r="C10" s="521"/>
      <c r="D10" s="521"/>
      <c r="E10" s="522"/>
      <c r="F10" s="520"/>
      <c r="G10" s="521"/>
      <c r="H10" s="521"/>
      <c r="I10" s="522"/>
      <c r="J10" s="520"/>
      <c r="K10" s="521"/>
      <c r="L10" s="521"/>
      <c r="M10" s="522"/>
      <c r="N10" s="578"/>
      <c r="O10" s="579"/>
      <c r="P10" s="579"/>
      <c r="Q10" s="579"/>
      <c r="R10" s="206"/>
    </row>
    <row r="11" spans="1:18" ht="15" customHeight="1" x14ac:dyDescent="0.25">
      <c r="A11" s="210"/>
      <c r="B11" s="580" t="s">
        <v>17</v>
      </c>
      <c r="C11" s="580"/>
      <c r="D11" s="580"/>
      <c r="E11" s="580"/>
      <c r="F11" s="580"/>
      <c r="G11" s="581"/>
      <c r="H11" s="544" t="s">
        <v>140</v>
      </c>
      <c r="I11" s="545"/>
      <c r="J11" s="545"/>
      <c r="K11" s="545"/>
      <c r="L11" s="545"/>
      <c r="M11" s="545"/>
      <c r="N11" s="545"/>
      <c r="O11" s="545"/>
      <c r="P11" s="545"/>
      <c r="Q11" s="545"/>
      <c r="R11" s="207"/>
    </row>
    <row r="12" spans="1:18" x14ac:dyDescent="0.25">
      <c r="A12" s="210"/>
      <c r="B12" s="582"/>
      <c r="C12" s="582"/>
      <c r="D12" s="582"/>
      <c r="E12" s="582"/>
      <c r="F12" s="582"/>
      <c r="G12" s="583"/>
      <c r="H12" s="547"/>
      <c r="I12" s="548"/>
      <c r="J12" s="548"/>
      <c r="K12" s="548"/>
      <c r="L12" s="548"/>
      <c r="M12" s="548"/>
      <c r="N12" s="548"/>
      <c r="O12" s="548"/>
      <c r="P12" s="548"/>
      <c r="Q12" s="548"/>
      <c r="R12" s="207"/>
    </row>
    <row r="13" spans="1:18" x14ac:dyDescent="0.25">
      <c r="A13" s="210"/>
      <c r="B13" s="582"/>
      <c r="C13" s="582"/>
      <c r="D13" s="582"/>
      <c r="E13" s="582"/>
      <c r="F13" s="582"/>
      <c r="G13" s="583"/>
      <c r="H13" s="547"/>
      <c r="I13" s="548"/>
      <c r="J13" s="548"/>
      <c r="K13" s="548"/>
      <c r="L13" s="548"/>
      <c r="M13" s="548"/>
      <c r="N13" s="548"/>
      <c r="O13" s="548"/>
      <c r="P13" s="548"/>
      <c r="Q13" s="548"/>
      <c r="R13" s="207"/>
    </row>
    <row r="14" spans="1:18" ht="15.75" thickBot="1" x14ac:dyDescent="0.3">
      <c r="A14" s="210"/>
      <c r="B14" s="584"/>
      <c r="C14" s="584"/>
      <c r="D14" s="584"/>
      <c r="E14" s="584"/>
      <c r="F14" s="584"/>
      <c r="G14" s="585"/>
      <c r="H14" s="550"/>
      <c r="I14" s="551"/>
      <c r="J14" s="551"/>
      <c r="K14" s="551"/>
      <c r="L14" s="551"/>
      <c r="M14" s="551"/>
      <c r="N14" s="551"/>
      <c r="O14" s="551"/>
      <c r="P14" s="551"/>
      <c r="Q14" s="551"/>
      <c r="R14" s="207"/>
    </row>
    <row r="15" spans="1:18" ht="15.75" customHeight="1" thickBot="1" x14ac:dyDescent="0.3">
      <c r="A15" s="210"/>
      <c r="B15" s="575" t="s">
        <v>18</v>
      </c>
      <c r="C15" s="575"/>
      <c r="D15" s="575"/>
      <c r="E15" s="575"/>
      <c r="F15" s="575"/>
      <c r="G15" s="575"/>
      <c r="H15" s="575"/>
      <c r="I15" s="575"/>
      <c r="J15" s="575"/>
      <c r="K15" s="575"/>
      <c r="L15" s="575"/>
      <c r="M15" s="575"/>
      <c r="N15" s="575"/>
      <c r="O15" s="575"/>
      <c r="P15" s="575"/>
      <c r="Q15" s="575"/>
      <c r="R15" s="208"/>
    </row>
    <row r="16" spans="1:18" ht="285" customHeight="1" x14ac:dyDescent="0.25">
      <c r="A16" s="210"/>
      <c r="B16" s="545" t="s">
        <v>175</v>
      </c>
      <c r="C16" s="545"/>
      <c r="D16" s="545"/>
      <c r="E16" s="546"/>
      <c r="F16" s="553" t="s">
        <v>173</v>
      </c>
      <c r="G16" s="554"/>
      <c r="H16" s="554"/>
      <c r="I16" s="555"/>
      <c r="J16" s="544" t="s">
        <v>172</v>
      </c>
      <c r="K16" s="545"/>
      <c r="L16" s="545"/>
      <c r="M16" s="546"/>
      <c r="N16" s="544" t="s">
        <v>174</v>
      </c>
      <c r="O16" s="545"/>
      <c r="P16" s="545"/>
      <c r="Q16" s="546"/>
      <c r="R16" s="209"/>
    </row>
    <row r="17" spans="1:18" x14ac:dyDescent="0.25">
      <c r="A17" s="210"/>
      <c r="B17" s="548"/>
      <c r="C17" s="548"/>
      <c r="D17" s="548"/>
      <c r="E17" s="549"/>
      <c r="F17" s="556"/>
      <c r="G17" s="557"/>
      <c r="H17" s="557"/>
      <c r="I17" s="558"/>
      <c r="J17" s="547"/>
      <c r="K17" s="548"/>
      <c r="L17" s="548"/>
      <c r="M17" s="549"/>
      <c r="N17" s="547"/>
      <c r="O17" s="548"/>
      <c r="P17" s="548"/>
      <c r="Q17" s="549"/>
      <c r="R17" s="209"/>
    </row>
    <row r="18" spans="1:18" x14ac:dyDescent="0.25">
      <c r="A18" s="210"/>
      <c r="B18" s="548"/>
      <c r="C18" s="548"/>
      <c r="D18" s="548"/>
      <c r="E18" s="549"/>
      <c r="F18" s="556"/>
      <c r="G18" s="557"/>
      <c r="H18" s="557"/>
      <c r="I18" s="558"/>
      <c r="J18" s="547"/>
      <c r="K18" s="548"/>
      <c r="L18" s="548"/>
      <c r="M18" s="549"/>
      <c r="N18" s="547"/>
      <c r="O18" s="548"/>
      <c r="P18" s="548"/>
      <c r="Q18" s="549"/>
      <c r="R18" s="209"/>
    </row>
    <row r="19" spans="1:18" x14ac:dyDescent="0.25">
      <c r="A19" s="210"/>
      <c r="B19" s="548"/>
      <c r="C19" s="548"/>
      <c r="D19" s="548"/>
      <c r="E19" s="549"/>
      <c r="F19" s="556"/>
      <c r="G19" s="557"/>
      <c r="H19" s="557"/>
      <c r="I19" s="558"/>
      <c r="J19" s="547"/>
      <c r="K19" s="548"/>
      <c r="L19" s="548"/>
      <c r="M19" s="549"/>
      <c r="N19" s="547"/>
      <c r="O19" s="548"/>
      <c r="P19" s="548"/>
      <c r="Q19" s="549"/>
      <c r="R19" s="209"/>
    </row>
    <row r="20" spans="1:18" x14ac:dyDescent="0.25">
      <c r="A20" s="210"/>
      <c r="B20" s="548"/>
      <c r="C20" s="548"/>
      <c r="D20" s="548"/>
      <c r="E20" s="549"/>
      <c r="F20" s="556"/>
      <c r="G20" s="557"/>
      <c r="H20" s="557"/>
      <c r="I20" s="558"/>
      <c r="J20" s="547"/>
      <c r="K20" s="548"/>
      <c r="L20" s="548"/>
      <c r="M20" s="549"/>
      <c r="N20" s="547"/>
      <c r="O20" s="548"/>
      <c r="P20" s="548"/>
      <c r="Q20" s="549"/>
      <c r="R20" s="209"/>
    </row>
    <row r="21" spans="1:18" x14ac:dyDescent="0.25">
      <c r="A21" s="210"/>
      <c r="B21" s="548"/>
      <c r="C21" s="548"/>
      <c r="D21" s="548"/>
      <c r="E21" s="549"/>
      <c r="F21" s="556"/>
      <c r="G21" s="557"/>
      <c r="H21" s="557"/>
      <c r="I21" s="558"/>
      <c r="J21" s="547"/>
      <c r="K21" s="548"/>
      <c r="L21" s="548"/>
      <c r="M21" s="549"/>
      <c r="N21" s="547"/>
      <c r="O21" s="548"/>
      <c r="P21" s="548"/>
      <c r="Q21" s="549"/>
      <c r="R21" s="209"/>
    </row>
    <row r="22" spans="1:18" x14ac:dyDescent="0.25">
      <c r="A22" s="210"/>
      <c r="B22" s="548"/>
      <c r="C22" s="548"/>
      <c r="D22" s="548"/>
      <c r="E22" s="549"/>
      <c r="F22" s="556"/>
      <c r="G22" s="557"/>
      <c r="H22" s="557"/>
      <c r="I22" s="558"/>
      <c r="J22" s="547"/>
      <c r="K22" s="548"/>
      <c r="L22" s="548"/>
      <c r="M22" s="549"/>
      <c r="N22" s="547"/>
      <c r="O22" s="548"/>
      <c r="P22" s="548"/>
      <c r="Q22" s="549"/>
      <c r="R22" s="209"/>
    </row>
    <row r="23" spans="1:18" ht="15.75" thickBot="1" x14ac:dyDescent="0.3">
      <c r="A23" s="210"/>
      <c r="B23" s="551"/>
      <c r="C23" s="551"/>
      <c r="D23" s="551"/>
      <c r="E23" s="552"/>
      <c r="F23" s="559"/>
      <c r="G23" s="560"/>
      <c r="H23" s="560"/>
      <c r="I23" s="561"/>
      <c r="J23" s="550"/>
      <c r="K23" s="551"/>
      <c r="L23" s="551"/>
      <c r="M23" s="552"/>
      <c r="N23" s="550"/>
      <c r="O23" s="551"/>
      <c r="P23" s="551"/>
      <c r="Q23" s="552"/>
      <c r="R23" s="209"/>
    </row>
    <row r="24" spans="1:18" ht="15" customHeight="1" x14ac:dyDescent="0.25">
      <c r="A24" s="210"/>
      <c r="B24" s="544" t="s">
        <v>177</v>
      </c>
      <c r="C24" s="545"/>
      <c r="D24" s="545"/>
      <c r="E24" s="545"/>
      <c r="F24" s="545"/>
      <c r="G24" s="545"/>
      <c r="H24" s="545"/>
      <c r="I24" s="545"/>
      <c r="J24" s="545"/>
      <c r="K24" s="545"/>
      <c r="L24" s="545"/>
      <c r="M24" s="545"/>
      <c r="N24" s="545"/>
      <c r="O24" s="545"/>
      <c r="P24" s="545"/>
      <c r="Q24" s="546"/>
      <c r="R24" s="211"/>
    </row>
    <row r="25" spans="1:18" x14ac:dyDescent="0.25">
      <c r="A25" s="210"/>
      <c r="B25" s="547"/>
      <c r="C25" s="548"/>
      <c r="D25" s="548"/>
      <c r="E25" s="548"/>
      <c r="F25" s="548"/>
      <c r="G25" s="548"/>
      <c r="H25" s="548"/>
      <c r="I25" s="548"/>
      <c r="J25" s="548"/>
      <c r="K25" s="548"/>
      <c r="L25" s="548"/>
      <c r="M25" s="548"/>
      <c r="N25" s="548"/>
      <c r="O25" s="548"/>
      <c r="P25" s="548"/>
      <c r="Q25" s="549"/>
      <c r="R25" s="211"/>
    </row>
    <row r="26" spans="1:18" x14ac:dyDescent="0.25">
      <c r="A26" s="210"/>
      <c r="B26" s="547"/>
      <c r="C26" s="548"/>
      <c r="D26" s="548"/>
      <c r="E26" s="548"/>
      <c r="F26" s="548"/>
      <c r="G26" s="548"/>
      <c r="H26" s="548"/>
      <c r="I26" s="548"/>
      <c r="J26" s="548"/>
      <c r="K26" s="548"/>
      <c r="L26" s="548"/>
      <c r="M26" s="548"/>
      <c r="N26" s="548"/>
      <c r="O26" s="548"/>
      <c r="P26" s="548"/>
      <c r="Q26" s="549"/>
      <c r="R26" s="211"/>
    </row>
    <row r="27" spans="1:18" x14ac:dyDescent="0.25">
      <c r="A27" s="210"/>
      <c r="B27" s="547"/>
      <c r="C27" s="548"/>
      <c r="D27" s="548"/>
      <c r="E27" s="548"/>
      <c r="F27" s="548"/>
      <c r="G27" s="548"/>
      <c r="H27" s="548"/>
      <c r="I27" s="548"/>
      <c r="J27" s="548"/>
      <c r="K27" s="548"/>
      <c r="L27" s="548"/>
      <c r="M27" s="548"/>
      <c r="N27" s="548"/>
      <c r="O27" s="548"/>
      <c r="P27" s="548"/>
      <c r="Q27" s="549"/>
      <c r="R27" s="211"/>
    </row>
    <row r="28" spans="1:18" x14ac:dyDescent="0.25">
      <c r="A28" s="210"/>
      <c r="B28" s="547"/>
      <c r="C28" s="548"/>
      <c r="D28" s="548"/>
      <c r="E28" s="548"/>
      <c r="F28" s="548"/>
      <c r="G28" s="548"/>
      <c r="H28" s="548"/>
      <c r="I28" s="548"/>
      <c r="J28" s="548"/>
      <c r="K28" s="548"/>
      <c r="L28" s="548"/>
      <c r="M28" s="548"/>
      <c r="N28" s="548"/>
      <c r="O28" s="548"/>
      <c r="P28" s="548"/>
      <c r="Q28" s="549"/>
      <c r="R28" s="211"/>
    </row>
    <row r="29" spans="1:18" x14ac:dyDescent="0.25">
      <c r="A29" s="210"/>
      <c r="B29" s="547"/>
      <c r="C29" s="548"/>
      <c r="D29" s="548"/>
      <c r="E29" s="548"/>
      <c r="F29" s="548"/>
      <c r="G29" s="548"/>
      <c r="H29" s="548"/>
      <c r="I29" s="548"/>
      <c r="J29" s="548"/>
      <c r="K29" s="548"/>
      <c r="L29" s="548"/>
      <c r="M29" s="548"/>
      <c r="N29" s="548"/>
      <c r="O29" s="548"/>
      <c r="P29" s="548"/>
      <c r="Q29" s="549"/>
      <c r="R29" s="211"/>
    </row>
    <row r="30" spans="1:18" ht="15.75" thickBot="1" x14ac:dyDescent="0.3">
      <c r="A30" s="210"/>
      <c r="B30" s="550"/>
      <c r="C30" s="551"/>
      <c r="D30" s="551"/>
      <c r="E30" s="551"/>
      <c r="F30" s="551"/>
      <c r="G30" s="551"/>
      <c r="H30" s="551"/>
      <c r="I30" s="551"/>
      <c r="J30" s="551"/>
      <c r="K30" s="551"/>
      <c r="L30" s="551"/>
      <c r="M30" s="551"/>
      <c r="N30" s="551"/>
      <c r="O30" s="551"/>
      <c r="P30" s="551"/>
      <c r="Q30" s="552"/>
      <c r="R30" s="212"/>
    </row>
    <row r="31" spans="1:18" ht="15" customHeight="1" x14ac:dyDescent="0.25">
      <c r="A31" s="210"/>
      <c r="B31" s="544" t="s">
        <v>178</v>
      </c>
      <c r="C31" s="545"/>
      <c r="D31" s="545"/>
      <c r="E31" s="545"/>
      <c r="F31" s="545"/>
      <c r="G31" s="545"/>
      <c r="H31" s="545"/>
      <c r="I31" s="545"/>
      <c r="J31" s="545"/>
      <c r="K31" s="545"/>
      <c r="L31" s="545"/>
      <c r="M31" s="545"/>
      <c r="N31" s="545"/>
      <c r="O31" s="545"/>
      <c r="P31" s="545"/>
      <c r="Q31" s="546"/>
      <c r="R31" s="207"/>
    </row>
    <row r="32" spans="1:18" x14ac:dyDescent="0.25">
      <c r="A32" s="210"/>
      <c r="B32" s="547"/>
      <c r="C32" s="548"/>
      <c r="D32" s="548"/>
      <c r="E32" s="548"/>
      <c r="F32" s="548"/>
      <c r="G32" s="548"/>
      <c r="H32" s="548"/>
      <c r="I32" s="548"/>
      <c r="J32" s="548"/>
      <c r="K32" s="548"/>
      <c r="L32" s="548"/>
      <c r="M32" s="548"/>
      <c r="N32" s="548"/>
      <c r="O32" s="548"/>
      <c r="P32" s="548"/>
      <c r="Q32" s="549"/>
      <c r="R32" s="204"/>
    </row>
    <row r="33" spans="1:18" x14ac:dyDescent="0.25">
      <c r="A33" s="210"/>
      <c r="B33" s="547"/>
      <c r="C33" s="548"/>
      <c r="D33" s="548"/>
      <c r="E33" s="548"/>
      <c r="F33" s="548"/>
      <c r="G33" s="548"/>
      <c r="H33" s="548"/>
      <c r="I33" s="548"/>
      <c r="J33" s="548"/>
      <c r="K33" s="548"/>
      <c r="L33" s="548"/>
      <c r="M33" s="548"/>
      <c r="N33" s="548"/>
      <c r="O33" s="548"/>
      <c r="P33" s="548"/>
      <c r="Q33" s="549"/>
      <c r="R33" s="204"/>
    </row>
    <row r="34" spans="1:18" x14ac:dyDescent="0.25">
      <c r="A34" s="210"/>
      <c r="B34" s="547"/>
      <c r="C34" s="548"/>
      <c r="D34" s="548"/>
      <c r="E34" s="548"/>
      <c r="F34" s="548"/>
      <c r="G34" s="548"/>
      <c r="H34" s="548"/>
      <c r="I34" s="548"/>
      <c r="J34" s="548"/>
      <c r="K34" s="548"/>
      <c r="L34" s="548"/>
      <c r="M34" s="548"/>
      <c r="N34" s="548"/>
      <c r="O34" s="548"/>
      <c r="P34" s="548"/>
      <c r="Q34" s="549"/>
      <c r="R34" s="204"/>
    </row>
    <row r="35" spans="1:18" x14ac:dyDescent="0.25">
      <c r="A35" s="210"/>
      <c r="B35" s="547"/>
      <c r="C35" s="548"/>
      <c r="D35" s="548"/>
      <c r="E35" s="548"/>
      <c r="F35" s="548"/>
      <c r="G35" s="548"/>
      <c r="H35" s="548"/>
      <c r="I35" s="548"/>
      <c r="J35" s="548"/>
      <c r="K35" s="548"/>
      <c r="L35" s="548"/>
      <c r="M35" s="548"/>
      <c r="N35" s="548"/>
      <c r="O35" s="548"/>
      <c r="P35" s="548"/>
      <c r="Q35" s="549"/>
      <c r="R35" s="204"/>
    </row>
    <row r="36" spans="1:18" x14ac:dyDescent="0.25">
      <c r="A36" s="210"/>
      <c r="B36" s="547"/>
      <c r="C36" s="548"/>
      <c r="D36" s="548"/>
      <c r="E36" s="548"/>
      <c r="F36" s="548"/>
      <c r="G36" s="548"/>
      <c r="H36" s="548"/>
      <c r="I36" s="548"/>
      <c r="J36" s="548"/>
      <c r="K36" s="548"/>
      <c r="L36" s="548"/>
      <c r="M36" s="548"/>
      <c r="N36" s="548"/>
      <c r="O36" s="548"/>
      <c r="P36" s="548"/>
      <c r="Q36" s="549"/>
      <c r="R36" s="204"/>
    </row>
    <row r="37" spans="1:18" ht="15.75" thickBot="1" x14ac:dyDescent="0.3">
      <c r="A37" s="210"/>
      <c r="B37" s="550"/>
      <c r="C37" s="551"/>
      <c r="D37" s="551"/>
      <c r="E37" s="551"/>
      <c r="F37" s="551"/>
      <c r="G37" s="551"/>
      <c r="H37" s="551"/>
      <c r="I37" s="551"/>
      <c r="J37" s="551"/>
      <c r="K37" s="551"/>
      <c r="L37" s="551"/>
      <c r="M37" s="551"/>
      <c r="N37" s="551"/>
      <c r="O37" s="551"/>
      <c r="P37" s="551"/>
      <c r="Q37" s="552"/>
      <c r="R37" s="207"/>
    </row>
    <row r="38" spans="1:18" ht="15" customHeight="1" x14ac:dyDescent="0.25">
      <c r="A38" s="210"/>
      <c r="B38" s="544" t="s">
        <v>179</v>
      </c>
      <c r="C38" s="545"/>
      <c r="D38" s="545"/>
      <c r="E38" s="545"/>
      <c r="F38" s="545"/>
      <c r="G38" s="545"/>
      <c r="H38" s="545"/>
      <c r="I38" s="545"/>
      <c r="J38" s="545"/>
      <c r="K38" s="545"/>
      <c r="L38" s="545"/>
      <c r="M38" s="545"/>
      <c r="N38" s="545"/>
      <c r="O38" s="545"/>
      <c r="P38" s="545"/>
      <c r="Q38" s="546"/>
      <c r="R38" s="214"/>
    </row>
    <row r="39" spans="1:18" ht="15" customHeight="1" x14ac:dyDescent="0.25">
      <c r="A39" s="210"/>
      <c r="B39" s="547"/>
      <c r="C39" s="548"/>
      <c r="D39" s="548"/>
      <c r="E39" s="548"/>
      <c r="F39" s="548"/>
      <c r="G39" s="548"/>
      <c r="H39" s="548"/>
      <c r="I39" s="548"/>
      <c r="J39" s="548"/>
      <c r="K39" s="548"/>
      <c r="L39" s="548"/>
      <c r="M39" s="548"/>
      <c r="N39" s="548"/>
      <c r="O39" s="548"/>
      <c r="P39" s="548"/>
      <c r="Q39" s="549"/>
      <c r="R39" s="213"/>
    </row>
    <row r="40" spans="1:18" ht="20.25" customHeight="1" thickBot="1" x14ac:dyDescent="0.3">
      <c r="A40" s="210"/>
      <c r="B40" s="547"/>
      <c r="C40" s="548"/>
      <c r="D40" s="548"/>
      <c r="E40" s="548"/>
      <c r="F40" s="548"/>
      <c r="G40" s="548"/>
      <c r="H40" s="548"/>
      <c r="I40" s="548"/>
      <c r="J40" s="548"/>
      <c r="K40" s="548"/>
      <c r="L40" s="548"/>
      <c r="M40" s="548"/>
      <c r="N40" s="548"/>
      <c r="O40" s="548"/>
      <c r="P40" s="548"/>
      <c r="Q40" s="549"/>
      <c r="R40" s="214"/>
    </row>
    <row r="41" spans="1:18" ht="15" customHeight="1" x14ac:dyDescent="0.25">
      <c r="A41" s="210"/>
      <c r="B41" s="544" t="s">
        <v>176</v>
      </c>
      <c r="C41" s="545"/>
      <c r="D41" s="545"/>
      <c r="E41" s="545"/>
      <c r="F41" s="545"/>
      <c r="G41" s="545"/>
      <c r="H41" s="545"/>
      <c r="I41" s="545"/>
      <c r="J41" s="545"/>
      <c r="K41" s="545"/>
      <c r="L41" s="545"/>
      <c r="M41" s="545"/>
      <c r="N41" s="545"/>
      <c r="O41" s="545"/>
      <c r="P41" s="545"/>
      <c r="Q41" s="546"/>
      <c r="R41" s="214"/>
    </row>
    <row r="42" spans="1:18" x14ac:dyDescent="0.25">
      <c r="A42" s="210"/>
      <c r="B42" s="547"/>
      <c r="C42" s="548"/>
      <c r="D42" s="548"/>
      <c r="E42" s="548"/>
      <c r="F42" s="548"/>
      <c r="G42" s="548"/>
      <c r="H42" s="548"/>
      <c r="I42" s="548"/>
      <c r="J42" s="548"/>
      <c r="K42" s="548"/>
      <c r="L42" s="548"/>
      <c r="M42" s="548"/>
      <c r="N42" s="548"/>
      <c r="O42" s="548"/>
      <c r="P42" s="548"/>
      <c r="Q42" s="549"/>
      <c r="R42" s="213"/>
    </row>
    <row r="43" spans="1:18" x14ac:dyDescent="0.25">
      <c r="A43" s="210"/>
      <c r="B43" s="547"/>
      <c r="C43" s="548"/>
      <c r="D43" s="548"/>
      <c r="E43" s="548"/>
      <c r="F43" s="548"/>
      <c r="G43" s="548"/>
      <c r="H43" s="548"/>
      <c r="I43" s="548"/>
      <c r="J43" s="548"/>
      <c r="K43" s="548"/>
      <c r="L43" s="548"/>
      <c r="M43" s="548"/>
      <c r="N43" s="548"/>
      <c r="O43" s="548"/>
      <c r="P43" s="548"/>
      <c r="Q43" s="549"/>
      <c r="R43" s="213"/>
    </row>
    <row r="44" spans="1:18" ht="15.75" thickBot="1" x14ac:dyDescent="0.3">
      <c r="A44" s="210"/>
      <c r="B44" s="550"/>
      <c r="C44" s="551"/>
      <c r="D44" s="551"/>
      <c r="E44" s="551"/>
      <c r="F44" s="551"/>
      <c r="G44" s="551"/>
      <c r="H44" s="551"/>
      <c r="I44" s="551"/>
      <c r="J44" s="551"/>
      <c r="K44" s="551"/>
      <c r="L44" s="551"/>
      <c r="M44" s="551"/>
      <c r="N44" s="551"/>
      <c r="O44" s="551"/>
      <c r="P44" s="551"/>
      <c r="Q44" s="552"/>
      <c r="R44" s="214"/>
    </row>
    <row r="45" spans="1:18" ht="15" customHeight="1" x14ac:dyDescent="0.25">
      <c r="A45" s="210"/>
      <c r="B45" s="544" t="s">
        <v>19</v>
      </c>
      <c r="C45" s="545"/>
      <c r="D45" s="545"/>
      <c r="E45" s="545"/>
      <c r="F45" s="545"/>
      <c r="G45" s="545"/>
      <c r="H45" s="545"/>
      <c r="I45" s="545"/>
      <c r="J45" s="545"/>
      <c r="K45" s="545"/>
      <c r="L45" s="545"/>
      <c r="M45" s="545"/>
      <c r="N45" s="545"/>
      <c r="O45" s="545"/>
      <c r="P45" s="545"/>
      <c r="Q45" s="546"/>
      <c r="R45" s="207"/>
    </row>
    <row r="46" spans="1:18" x14ac:dyDescent="0.25">
      <c r="A46" s="210"/>
      <c r="B46" s="547"/>
      <c r="C46" s="548"/>
      <c r="D46" s="548"/>
      <c r="E46" s="548"/>
      <c r="F46" s="548"/>
      <c r="G46" s="548"/>
      <c r="H46" s="548"/>
      <c r="I46" s="548"/>
      <c r="J46" s="548"/>
      <c r="K46" s="548"/>
      <c r="L46" s="548"/>
      <c r="M46" s="548"/>
      <c r="N46" s="548"/>
      <c r="O46" s="548"/>
      <c r="P46" s="548"/>
      <c r="Q46" s="549"/>
      <c r="R46" s="207"/>
    </row>
    <row r="47" spans="1:18" ht="15.75" thickBot="1" x14ac:dyDescent="0.3">
      <c r="A47" s="210"/>
      <c r="B47" s="550"/>
      <c r="C47" s="551"/>
      <c r="D47" s="551"/>
      <c r="E47" s="551"/>
      <c r="F47" s="551"/>
      <c r="G47" s="551"/>
      <c r="H47" s="551"/>
      <c r="I47" s="551"/>
      <c r="J47" s="551"/>
      <c r="K47" s="551"/>
      <c r="L47" s="551"/>
      <c r="M47" s="551"/>
      <c r="N47" s="551"/>
      <c r="O47" s="551"/>
      <c r="P47" s="551"/>
      <c r="Q47" s="552"/>
      <c r="R47" s="207"/>
    </row>
    <row r="48" spans="1:18" ht="15" customHeight="1" x14ac:dyDescent="0.25">
      <c r="A48" s="210"/>
      <c r="B48" s="526" t="s">
        <v>20</v>
      </c>
      <c r="C48" s="526"/>
      <c r="D48" s="526"/>
      <c r="E48" s="526"/>
      <c r="F48" s="527"/>
      <c r="G48" s="530" t="s">
        <v>21</v>
      </c>
      <c r="H48" s="526"/>
      <c r="I48" s="526"/>
      <c r="J48" s="526"/>
      <c r="K48" s="527"/>
      <c r="L48" s="530" t="s">
        <v>1</v>
      </c>
      <c r="M48" s="526"/>
      <c r="N48" s="526"/>
      <c r="O48" s="527"/>
      <c r="P48" s="530" t="s">
        <v>2</v>
      </c>
      <c r="Q48" s="527"/>
      <c r="R48" s="216"/>
    </row>
    <row r="49" spans="1:18" ht="15.75" customHeight="1" thickBot="1" x14ac:dyDescent="0.3">
      <c r="A49" s="210"/>
      <c r="B49" s="528"/>
      <c r="C49" s="528"/>
      <c r="D49" s="528"/>
      <c r="E49" s="528"/>
      <c r="F49" s="529"/>
      <c r="G49" s="531"/>
      <c r="H49" s="528"/>
      <c r="I49" s="528"/>
      <c r="J49" s="528"/>
      <c r="K49" s="529"/>
      <c r="L49" s="531"/>
      <c r="M49" s="528"/>
      <c r="N49" s="528"/>
      <c r="O49" s="529"/>
      <c r="P49" s="531"/>
      <c r="Q49" s="529"/>
      <c r="R49" s="216"/>
    </row>
    <row r="50" spans="1:18" x14ac:dyDescent="0.25">
      <c r="A50" s="210"/>
      <c r="B50" s="532"/>
      <c r="C50" s="532"/>
      <c r="D50" s="532"/>
      <c r="E50" s="532"/>
      <c r="F50" s="533"/>
      <c r="G50" s="534"/>
      <c r="H50" s="532"/>
      <c r="I50" s="532"/>
      <c r="J50" s="532"/>
      <c r="K50" s="533"/>
      <c r="L50" s="534"/>
      <c r="M50" s="532"/>
      <c r="N50" s="532"/>
      <c r="O50" s="533"/>
      <c r="P50" s="562"/>
      <c r="Q50" s="563"/>
      <c r="R50" s="212"/>
    </row>
    <row r="51" spans="1:18" x14ac:dyDescent="0.25">
      <c r="A51" s="210"/>
      <c r="B51" s="523"/>
      <c r="C51" s="523"/>
      <c r="D51" s="523"/>
      <c r="E51" s="523"/>
      <c r="F51" s="524"/>
      <c r="G51" s="525"/>
      <c r="H51" s="523"/>
      <c r="I51" s="523"/>
      <c r="J51" s="523"/>
      <c r="K51" s="524"/>
      <c r="L51" s="525"/>
      <c r="M51" s="523"/>
      <c r="N51" s="523"/>
      <c r="O51" s="524"/>
      <c r="P51" s="537"/>
      <c r="Q51" s="538"/>
      <c r="R51" s="212"/>
    </row>
    <row r="52" spans="1:18" x14ac:dyDescent="0.25">
      <c r="A52" s="210"/>
      <c r="B52" s="523"/>
      <c r="C52" s="523"/>
      <c r="D52" s="523"/>
      <c r="E52" s="523"/>
      <c r="F52" s="524"/>
      <c r="G52" s="525"/>
      <c r="H52" s="523"/>
      <c r="I52" s="523"/>
      <c r="J52" s="523"/>
      <c r="K52" s="524"/>
      <c r="L52" s="525"/>
      <c r="M52" s="523"/>
      <c r="N52" s="523"/>
      <c r="O52" s="524"/>
      <c r="P52" s="535"/>
      <c r="Q52" s="536"/>
      <c r="R52" s="217"/>
    </row>
    <row r="53" spans="1:18" x14ac:dyDescent="0.25">
      <c r="A53" s="210"/>
      <c r="B53" s="523"/>
      <c r="C53" s="523"/>
      <c r="D53" s="523"/>
      <c r="E53" s="523"/>
      <c r="F53" s="524"/>
      <c r="G53" s="525"/>
      <c r="H53" s="523"/>
      <c r="I53" s="523"/>
      <c r="J53" s="523"/>
      <c r="K53" s="524"/>
      <c r="L53" s="525"/>
      <c r="M53" s="523"/>
      <c r="N53" s="523"/>
      <c r="O53" s="524"/>
      <c r="P53" s="537"/>
      <c r="Q53" s="538"/>
      <c r="R53" s="217"/>
    </row>
    <row r="54" spans="1:18" x14ac:dyDescent="0.25">
      <c r="A54" s="210"/>
      <c r="B54" s="523"/>
      <c r="C54" s="523"/>
      <c r="D54" s="523"/>
      <c r="E54" s="523"/>
      <c r="F54" s="524"/>
      <c r="G54" s="525"/>
      <c r="H54" s="523"/>
      <c r="I54" s="523"/>
      <c r="J54" s="523"/>
      <c r="K54" s="524"/>
      <c r="L54" s="525"/>
      <c r="M54" s="523"/>
      <c r="N54" s="523"/>
      <c r="O54" s="524"/>
      <c r="P54" s="535"/>
      <c r="Q54" s="536"/>
      <c r="R54" s="217"/>
    </row>
    <row r="55" spans="1:18" x14ac:dyDescent="0.25">
      <c r="A55" s="210"/>
      <c r="B55" s="523"/>
      <c r="C55" s="523"/>
      <c r="D55" s="523"/>
      <c r="E55" s="523"/>
      <c r="F55" s="524"/>
      <c r="G55" s="525"/>
      <c r="H55" s="523"/>
      <c r="I55" s="523"/>
      <c r="J55" s="523"/>
      <c r="K55" s="524"/>
      <c r="L55" s="525"/>
      <c r="M55" s="523"/>
      <c r="N55" s="523"/>
      <c r="O55" s="524"/>
      <c r="P55" s="564"/>
      <c r="Q55" s="565"/>
      <c r="R55" s="217"/>
    </row>
    <row r="56" spans="1:18" x14ac:dyDescent="0.25">
      <c r="A56" s="210"/>
      <c r="B56" s="523"/>
      <c r="C56" s="523"/>
      <c r="D56" s="523"/>
      <c r="E56" s="523"/>
      <c r="F56" s="524"/>
      <c r="G56" s="525"/>
      <c r="H56" s="523"/>
      <c r="I56" s="523"/>
      <c r="J56" s="523"/>
      <c r="K56" s="524"/>
      <c r="L56" s="525"/>
      <c r="M56" s="523"/>
      <c r="N56" s="523"/>
      <c r="O56" s="524"/>
      <c r="P56" s="535"/>
      <c r="Q56" s="536"/>
      <c r="R56" s="215"/>
    </row>
    <row r="57" spans="1:18" x14ac:dyDescent="0.25">
      <c r="A57" s="210"/>
      <c r="B57" s="523"/>
      <c r="C57" s="523"/>
      <c r="D57" s="523"/>
      <c r="E57" s="523"/>
      <c r="F57" s="524"/>
      <c r="G57" s="525"/>
      <c r="H57" s="523"/>
      <c r="I57" s="523"/>
      <c r="J57" s="523"/>
      <c r="K57" s="524"/>
      <c r="L57" s="525"/>
      <c r="M57" s="523"/>
      <c r="N57" s="523"/>
      <c r="O57" s="524"/>
      <c r="P57" s="537"/>
      <c r="Q57" s="538"/>
      <c r="R57" s="217"/>
    </row>
    <row r="58" spans="1:18" x14ac:dyDescent="0.25">
      <c r="A58" s="210"/>
      <c r="B58" s="523"/>
      <c r="C58" s="523"/>
      <c r="D58" s="523"/>
      <c r="E58" s="523"/>
      <c r="F58" s="524"/>
      <c r="G58" s="525"/>
      <c r="H58" s="523"/>
      <c r="I58" s="523"/>
      <c r="J58" s="523"/>
      <c r="K58" s="524"/>
      <c r="L58" s="525"/>
      <c r="M58" s="523"/>
      <c r="N58" s="523"/>
      <c r="O58" s="524"/>
      <c r="P58" s="535"/>
      <c r="Q58" s="536"/>
      <c r="R58" s="217"/>
    </row>
    <row r="59" spans="1:18" x14ac:dyDescent="0.25">
      <c r="A59" s="210"/>
      <c r="B59" s="523"/>
      <c r="C59" s="523"/>
      <c r="D59" s="523"/>
      <c r="E59" s="523"/>
      <c r="F59" s="524"/>
      <c r="G59" s="525"/>
      <c r="H59" s="523"/>
      <c r="I59" s="523"/>
      <c r="J59" s="523"/>
      <c r="K59" s="524"/>
      <c r="L59" s="525"/>
      <c r="M59" s="523"/>
      <c r="N59" s="523"/>
      <c r="O59" s="524"/>
      <c r="P59" s="537"/>
      <c r="Q59" s="538"/>
      <c r="R59" s="217"/>
    </row>
    <row r="60" spans="1:18" x14ac:dyDescent="0.25">
      <c r="A60" s="210"/>
      <c r="B60" s="523"/>
      <c r="C60" s="523"/>
      <c r="D60" s="523"/>
      <c r="E60" s="523"/>
      <c r="F60" s="524"/>
      <c r="G60" s="525"/>
      <c r="H60" s="523"/>
      <c r="I60" s="523"/>
      <c r="J60" s="523"/>
      <c r="K60" s="524"/>
      <c r="L60" s="525"/>
      <c r="M60" s="523"/>
      <c r="N60" s="523"/>
      <c r="O60" s="524"/>
      <c r="P60" s="535"/>
      <c r="Q60" s="536"/>
      <c r="R60" s="217"/>
    </row>
    <row r="61" spans="1:18" ht="15.75" thickBot="1" x14ac:dyDescent="0.3">
      <c r="A61" s="210"/>
      <c r="B61" s="541"/>
      <c r="C61" s="541"/>
      <c r="D61" s="541"/>
      <c r="E61" s="541"/>
      <c r="F61" s="542"/>
      <c r="G61" s="543"/>
      <c r="H61" s="541"/>
      <c r="I61" s="541"/>
      <c r="J61" s="541"/>
      <c r="K61" s="542"/>
      <c r="L61" s="543"/>
      <c r="M61" s="541"/>
      <c r="N61" s="541"/>
      <c r="O61" s="542"/>
      <c r="P61" s="539"/>
      <c r="Q61" s="540"/>
      <c r="R61" s="217"/>
    </row>
    <row r="62" spans="1:18" x14ac:dyDescent="0.25">
      <c r="A62" s="210"/>
      <c r="B62" s="514" t="s">
        <v>141</v>
      </c>
      <c r="C62" s="515"/>
      <c r="D62" s="515"/>
      <c r="E62" s="515"/>
      <c r="F62" s="515"/>
      <c r="G62" s="515"/>
      <c r="H62" s="515"/>
      <c r="I62" s="515"/>
      <c r="J62" s="515"/>
      <c r="K62" s="515"/>
      <c r="L62" s="515"/>
      <c r="M62" s="515"/>
      <c r="N62" s="515"/>
      <c r="O62" s="515"/>
      <c r="P62" s="515"/>
      <c r="Q62" s="516"/>
      <c r="R62" s="205"/>
    </row>
    <row r="63" spans="1:18" x14ac:dyDescent="0.25">
      <c r="A63" s="210"/>
      <c r="B63" s="517"/>
      <c r="C63" s="518"/>
      <c r="D63" s="518"/>
      <c r="E63" s="518"/>
      <c r="F63" s="518"/>
      <c r="G63" s="518"/>
      <c r="H63" s="518"/>
      <c r="I63" s="518"/>
      <c r="J63" s="518"/>
      <c r="K63" s="518"/>
      <c r="L63" s="518"/>
      <c r="M63" s="518"/>
      <c r="N63" s="518"/>
      <c r="O63" s="518"/>
      <c r="P63" s="518"/>
      <c r="Q63" s="519"/>
      <c r="R63" s="218"/>
    </row>
    <row r="64" spans="1:18" x14ac:dyDescent="0.25">
      <c r="A64" s="210"/>
      <c r="B64" s="517"/>
      <c r="C64" s="518"/>
      <c r="D64" s="518"/>
      <c r="E64" s="518"/>
      <c r="F64" s="518"/>
      <c r="G64" s="518"/>
      <c r="H64" s="518"/>
      <c r="I64" s="518"/>
      <c r="J64" s="518"/>
      <c r="K64" s="518"/>
      <c r="L64" s="518"/>
      <c r="M64" s="518"/>
      <c r="N64" s="518"/>
      <c r="O64" s="518"/>
      <c r="P64" s="518"/>
      <c r="Q64" s="519"/>
      <c r="R64" s="218"/>
    </row>
    <row r="65" spans="1:18" ht="15.75" thickBot="1" x14ac:dyDescent="0.3">
      <c r="A65" s="210"/>
      <c r="B65" s="520"/>
      <c r="C65" s="521"/>
      <c r="D65" s="521"/>
      <c r="E65" s="521"/>
      <c r="F65" s="521"/>
      <c r="G65" s="521"/>
      <c r="H65" s="521"/>
      <c r="I65" s="521"/>
      <c r="J65" s="521"/>
      <c r="K65" s="521"/>
      <c r="L65" s="521"/>
      <c r="M65" s="521"/>
      <c r="N65" s="521"/>
      <c r="O65" s="521"/>
      <c r="P65" s="521"/>
      <c r="Q65" s="522"/>
      <c r="R65" s="218"/>
    </row>
    <row r="66" spans="1:18" ht="15.75" thickBot="1" x14ac:dyDescent="0.3">
      <c r="A66" s="45"/>
      <c r="B66" s="220"/>
      <c r="C66" s="220"/>
      <c r="D66" s="220"/>
      <c r="E66" s="220"/>
      <c r="F66" s="220"/>
      <c r="G66" s="220"/>
      <c r="H66" s="220"/>
      <c r="I66" s="220"/>
      <c r="J66" s="220"/>
      <c r="K66" s="220"/>
      <c r="L66" s="220"/>
      <c r="M66" s="220"/>
      <c r="N66" s="220"/>
      <c r="O66" s="220"/>
      <c r="P66" s="220"/>
      <c r="Q66" s="220"/>
      <c r="R66" s="219"/>
    </row>
    <row r="67" spans="1:18" ht="15.75" thickTop="1" x14ac:dyDescent="0.25"/>
  </sheetData>
  <mergeCells count="50">
    <mergeCell ref="B2:Q5"/>
    <mergeCell ref="B15:Q15"/>
    <mergeCell ref="N16:Q23"/>
    <mergeCell ref="B7:E8"/>
    <mergeCell ref="F7:I8"/>
    <mergeCell ref="J7:M8"/>
    <mergeCell ref="B9:E10"/>
    <mergeCell ref="F9:I10"/>
    <mergeCell ref="J9:M10"/>
    <mergeCell ref="N7:Q8"/>
    <mergeCell ref="N9:Q10"/>
    <mergeCell ref="B11:G14"/>
    <mergeCell ref="H11:Q14"/>
    <mergeCell ref="B60:F61"/>
    <mergeCell ref="G60:K61"/>
    <mergeCell ref="L60:O61"/>
    <mergeCell ref="J16:M23"/>
    <mergeCell ref="F16:I23"/>
    <mergeCell ref="B16:E23"/>
    <mergeCell ref="B24:Q30"/>
    <mergeCell ref="B31:Q37"/>
    <mergeCell ref="B38:Q40"/>
    <mergeCell ref="B41:Q44"/>
    <mergeCell ref="B45:Q47"/>
    <mergeCell ref="P48:Q49"/>
    <mergeCell ref="P50:Q51"/>
    <mergeCell ref="P52:Q53"/>
    <mergeCell ref="P54:Q55"/>
    <mergeCell ref="P56:Q57"/>
    <mergeCell ref="G56:K57"/>
    <mergeCell ref="L56:O57"/>
    <mergeCell ref="B58:F59"/>
    <mergeCell ref="G58:K59"/>
    <mergeCell ref="L58:O59"/>
    <mergeCell ref="B62:Q65"/>
    <mergeCell ref="B54:F55"/>
    <mergeCell ref="G54:K55"/>
    <mergeCell ref="L54:O55"/>
    <mergeCell ref="B48:F49"/>
    <mergeCell ref="G48:K49"/>
    <mergeCell ref="L48:O49"/>
    <mergeCell ref="B50:F51"/>
    <mergeCell ref="G50:K51"/>
    <mergeCell ref="L50:O51"/>
    <mergeCell ref="B52:F53"/>
    <mergeCell ref="G52:K53"/>
    <mergeCell ref="L52:O53"/>
    <mergeCell ref="P58:Q59"/>
    <mergeCell ref="P60:Q61"/>
    <mergeCell ref="B56:F57"/>
  </mergeCells>
  <pageMargins left="0.25" right="0.25" top="0.33" bottom="0.17" header="0.3" footer="0.3"/>
  <pageSetup scale="61"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19C90E-3163-4257-A7CC-AF17FC27481A}">
  <sheetPr codeName="Sheet12">
    <tabColor rgb="FFFF0000"/>
    <pageSetUpPr fitToPage="1"/>
  </sheetPr>
  <dimension ref="A1:AH204"/>
  <sheetViews>
    <sheetView topLeftCell="A19"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59" priority="3">
      <formula>$AH$199=1</formula>
    </cfRule>
  </conditionalFormatting>
  <conditionalFormatting sqref="G39">
    <cfRule type="expression" dxfId="58" priority="1">
      <formula>$AH$199=3</formula>
    </cfRule>
  </conditionalFormatting>
  <conditionalFormatting sqref="G34">
    <cfRule type="expression" dxfId="57" priority="2">
      <formula>$AH$199=2</formula>
    </cfRule>
  </conditionalFormatting>
  <dataValidations count="5">
    <dataValidation type="list" allowBlank="1" showInputMessage="1" showErrorMessage="1" sqref="K13:L13" xr:uid="{28570B6E-4570-4B0C-8D00-5B463E69FA70}">
      <formula1>$AC$199:$AC$205</formula1>
    </dataValidation>
    <dataValidation type="list" allowBlank="1" showInputMessage="1" showErrorMessage="1" sqref="D48:E48" xr:uid="{9206687C-5D4E-43B2-B126-45970D4A59E7}">
      <formula1>$AF$199:$AF$203</formula1>
    </dataValidation>
    <dataValidation type="list" allowBlank="1" showInputMessage="1" showErrorMessage="1" sqref="K14:L14" xr:uid="{246044E8-9DBB-47C9-A136-D557877BF002}">
      <formula1>$AD$199:$AD$203</formula1>
    </dataValidation>
    <dataValidation type="list" allowBlank="1" showInputMessage="1" showErrorMessage="1" sqref="H23 H21" xr:uid="{E9767803-495C-4EB6-BF8E-4F56C4E90CF4}">
      <formula1>$AC$199:$AC$203</formula1>
    </dataValidation>
    <dataValidation type="list" allowBlank="1" showInputMessage="1" showErrorMessage="1" sqref="H14" xr:uid="{2672152B-0A02-4AAA-9138-F638DB6C5ABF}">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56322"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56323"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7C958-19C7-4B5A-A5B5-2351FB9A5738}">
  <sheetPr codeName="Sheet13">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2</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56" priority="3">
      <formula>$AH$199=1</formula>
    </cfRule>
  </conditionalFormatting>
  <conditionalFormatting sqref="G39">
    <cfRule type="expression" dxfId="55" priority="1">
      <formula>$AH$199=3</formula>
    </cfRule>
  </conditionalFormatting>
  <conditionalFormatting sqref="G34">
    <cfRule type="expression" dxfId="54" priority="2">
      <formula>$AH$199=2</formula>
    </cfRule>
  </conditionalFormatting>
  <dataValidations count="5">
    <dataValidation type="list" allowBlank="1" showInputMessage="1" showErrorMessage="1" sqref="K13:L13" xr:uid="{18954C5E-FB09-4376-9AFA-628C6F07D4D6}">
      <formula1>$AC$199:$AC$205</formula1>
    </dataValidation>
    <dataValidation type="list" allowBlank="1" showInputMessage="1" showErrorMessage="1" sqref="D48:E48" xr:uid="{46838F6E-70C6-48BF-99F3-A286F22831CD}">
      <formula1>$AF$199:$AF$203</formula1>
    </dataValidation>
    <dataValidation type="list" allowBlank="1" showInputMessage="1" showErrorMessage="1" sqref="K14:L14" xr:uid="{F6808E81-1815-4F96-9AAA-3F8B62399F53}">
      <formula1>$AD$199:$AD$203</formula1>
    </dataValidation>
    <dataValidation type="list" allowBlank="1" showInputMessage="1" showErrorMessage="1" sqref="H23 H21" xr:uid="{31626BBE-F183-48A8-86B3-187077724CE3}">
      <formula1>$AC$199:$AC$203</formula1>
    </dataValidation>
    <dataValidation type="list" allowBlank="1" showInputMessage="1" showErrorMessage="1" sqref="H14" xr:uid="{DB88B6CA-B598-40ED-BBF2-7AA7DBCABFA3}">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57346"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57347"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DA3E5-361C-489C-B054-1D967B125A43}">
  <sheetPr codeName="Sheet14">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3</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53" priority="3">
      <formula>$AH$199=1</formula>
    </cfRule>
  </conditionalFormatting>
  <conditionalFormatting sqref="G39">
    <cfRule type="expression" dxfId="52" priority="1">
      <formula>$AH$199=3</formula>
    </cfRule>
  </conditionalFormatting>
  <conditionalFormatting sqref="G34">
    <cfRule type="expression" dxfId="51" priority="2">
      <formula>$AH$199=2</formula>
    </cfRule>
  </conditionalFormatting>
  <dataValidations count="5">
    <dataValidation type="list" allowBlank="1" showInputMessage="1" showErrorMessage="1" sqref="K13:L13" xr:uid="{0DD5B2F3-9C53-4BC4-B4ED-0607A826EAC7}">
      <formula1>$AC$199:$AC$205</formula1>
    </dataValidation>
    <dataValidation type="list" allowBlank="1" showInputMessage="1" showErrorMessage="1" sqref="D48:E48" xr:uid="{1BBE8249-0AAF-4175-BEA1-CA0116393F2E}">
      <formula1>$AF$199:$AF$203</formula1>
    </dataValidation>
    <dataValidation type="list" allowBlank="1" showInputMessage="1" showErrorMessage="1" sqref="K14:L14" xr:uid="{89625A2C-D3E5-4A3C-A278-0546B46E719F}">
      <formula1>$AD$199:$AD$203</formula1>
    </dataValidation>
    <dataValidation type="list" allowBlank="1" showInputMessage="1" showErrorMessage="1" sqref="H23 H21" xr:uid="{F988A489-BA80-4052-B927-A32B47046C56}">
      <formula1>$AC$199:$AC$203</formula1>
    </dataValidation>
    <dataValidation type="list" allowBlank="1" showInputMessage="1" showErrorMessage="1" sqref="H14" xr:uid="{B43FA48C-2189-420A-BEAF-0C39906F4831}">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58370"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58371"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94107-732F-4765-980E-161063EDEF43}">
  <sheetPr codeName="Sheet15">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4</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50" priority="3">
      <formula>$AH$199=1</formula>
    </cfRule>
  </conditionalFormatting>
  <conditionalFormatting sqref="G39">
    <cfRule type="expression" dxfId="49" priority="1">
      <formula>$AH$199=3</formula>
    </cfRule>
  </conditionalFormatting>
  <conditionalFormatting sqref="G34">
    <cfRule type="expression" dxfId="48" priority="2">
      <formula>$AH$199=2</formula>
    </cfRule>
  </conditionalFormatting>
  <dataValidations count="5">
    <dataValidation type="list" allowBlank="1" showInputMessage="1" showErrorMessage="1" sqref="K13:L13" xr:uid="{C3F88FED-A4B1-41D1-9CBC-5BAA6AF147F1}">
      <formula1>$AC$199:$AC$205</formula1>
    </dataValidation>
    <dataValidation type="list" allowBlank="1" showInputMessage="1" showErrorMessage="1" sqref="D48:E48" xr:uid="{1E597970-B362-4D20-8A38-BD2F9AB50292}">
      <formula1>$AF$199:$AF$203</formula1>
    </dataValidation>
    <dataValidation type="list" allowBlank="1" showInputMessage="1" showErrorMessage="1" sqref="K14:L14" xr:uid="{031EE413-D8E9-475D-8825-B7015A848EA1}">
      <formula1>$AD$199:$AD$203</formula1>
    </dataValidation>
    <dataValidation type="list" allowBlank="1" showInputMessage="1" showErrorMessage="1" sqref="H23 H21" xr:uid="{FB8501D1-F12F-4F72-943F-0FB60CB80A9E}">
      <formula1>$AC$199:$AC$203</formula1>
    </dataValidation>
    <dataValidation type="list" allowBlank="1" showInputMessage="1" showErrorMessage="1" sqref="H14" xr:uid="{38D463C1-7823-4460-B702-579F5060C13D}">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59394"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59395"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587E4-70A5-4953-8DFC-4BDD73D2750B}">
  <sheetPr codeName="Sheet16">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5</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47" priority="3">
      <formula>$AH$199=1</formula>
    </cfRule>
  </conditionalFormatting>
  <conditionalFormatting sqref="G39">
    <cfRule type="expression" dxfId="46" priority="1">
      <formula>$AH$199=3</formula>
    </cfRule>
  </conditionalFormatting>
  <conditionalFormatting sqref="G34">
    <cfRule type="expression" dxfId="45" priority="2">
      <formula>$AH$199=2</formula>
    </cfRule>
  </conditionalFormatting>
  <dataValidations count="5">
    <dataValidation type="list" allowBlank="1" showInputMessage="1" showErrorMessage="1" sqref="K13:L13" xr:uid="{E4FDA8B5-4A49-4569-B169-18463B0DE8D0}">
      <formula1>$AC$199:$AC$205</formula1>
    </dataValidation>
    <dataValidation type="list" allowBlank="1" showInputMessage="1" showErrorMessage="1" sqref="D48:E48" xr:uid="{F8019BB0-C2F0-415A-804C-9EA2B2888434}">
      <formula1>$AF$199:$AF$203</formula1>
    </dataValidation>
    <dataValidation type="list" allowBlank="1" showInputMessage="1" showErrorMessage="1" sqref="K14:L14" xr:uid="{4030F969-E2FB-4CF7-B5AF-AFE2E00C0074}">
      <formula1>$AD$199:$AD$203</formula1>
    </dataValidation>
    <dataValidation type="list" allowBlank="1" showInputMessage="1" showErrorMessage="1" sqref="H23 H21" xr:uid="{B51DA9BF-FD65-40C6-84E3-7A1FCF3EDB18}">
      <formula1>$AC$199:$AC$203</formula1>
    </dataValidation>
    <dataValidation type="list" allowBlank="1" showInputMessage="1" showErrorMessage="1" sqref="H14" xr:uid="{78C0026C-730E-406B-B5EE-3F4217A527B5}">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0418"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0419"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582D-BD04-4127-98EC-EDB38267F2B0}">
  <sheetPr codeName="Sheet17">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6</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44" priority="3">
      <formula>$AH$199=1</formula>
    </cfRule>
  </conditionalFormatting>
  <conditionalFormatting sqref="G39">
    <cfRule type="expression" dxfId="43" priority="1">
      <formula>$AH$199=3</formula>
    </cfRule>
  </conditionalFormatting>
  <conditionalFormatting sqref="G34">
    <cfRule type="expression" dxfId="42" priority="2">
      <formula>$AH$199=2</formula>
    </cfRule>
  </conditionalFormatting>
  <dataValidations count="5">
    <dataValidation type="list" allowBlank="1" showInputMessage="1" showErrorMessage="1" sqref="K13:L13" xr:uid="{ABB2F971-9E54-4E11-8D35-8C0BA9D4822D}">
      <formula1>$AC$199:$AC$205</formula1>
    </dataValidation>
    <dataValidation type="list" allowBlank="1" showInputMessage="1" showErrorMessage="1" sqref="D48:E48" xr:uid="{CC82223E-E429-49E0-8150-C689D7D02C43}">
      <formula1>$AF$199:$AF$203</formula1>
    </dataValidation>
    <dataValidation type="list" allowBlank="1" showInputMessage="1" showErrorMessage="1" sqref="K14:L14" xr:uid="{79C96444-4EA1-4C75-90EC-48960ADDD903}">
      <formula1>$AD$199:$AD$203</formula1>
    </dataValidation>
    <dataValidation type="list" allowBlank="1" showInputMessage="1" showErrorMessage="1" sqref="H23 H21" xr:uid="{EBF85CC8-636C-455E-B4CF-AEE00D14F068}">
      <formula1>$AC$199:$AC$203</formula1>
    </dataValidation>
    <dataValidation type="list" allowBlank="1" showInputMessage="1" showErrorMessage="1" sqref="H14" xr:uid="{0B3B1497-F1E9-4FE7-9A4E-840E3EA174B0}">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1442"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1443"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359D1-50AB-4546-8760-B09B880DF6DC}">
  <sheetPr codeName="Sheet18">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7</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41" priority="3">
      <formula>$AH$199=1</formula>
    </cfRule>
  </conditionalFormatting>
  <conditionalFormatting sqref="G39">
    <cfRule type="expression" dxfId="40" priority="1">
      <formula>$AH$199=3</formula>
    </cfRule>
  </conditionalFormatting>
  <conditionalFormatting sqref="G34">
    <cfRule type="expression" dxfId="39" priority="2">
      <formula>$AH$199=2</formula>
    </cfRule>
  </conditionalFormatting>
  <dataValidations count="5">
    <dataValidation type="list" allowBlank="1" showInputMessage="1" showErrorMessage="1" sqref="K13:L13" xr:uid="{B8C22E39-AE1C-4BDD-9554-87ADFD0B830D}">
      <formula1>$AC$199:$AC$205</formula1>
    </dataValidation>
    <dataValidation type="list" allowBlank="1" showInputMessage="1" showErrorMessage="1" sqref="D48:E48" xr:uid="{50827898-7E79-4081-9945-153210AE1687}">
      <formula1>$AF$199:$AF$203</formula1>
    </dataValidation>
    <dataValidation type="list" allowBlank="1" showInputMessage="1" showErrorMessage="1" sqref="K14:L14" xr:uid="{89EC5DA0-294A-4DA6-B99B-0FC9FD156425}">
      <formula1>$AD$199:$AD$203</formula1>
    </dataValidation>
    <dataValidation type="list" allowBlank="1" showInputMessage="1" showErrorMessage="1" sqref="H23 H21" xr:uid="{E9220EF6-3EE2-4AA7-8617-72EF967AA671}">
      <formula1>$AC$199:$AC$203</formula1>
    </dataValidation>
    <dataValidation type="list" allowBlank="1" showInputMessage="1" showErrorMessage="1" sqref="H14" xr:uid="{E37735F2-4DEC-435A-9B5A-80C06EEC01FC}">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2466"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2467"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ECF9-33B5-49EC-89EC-C95E671CE4B9}">
  <sheetPr codeName="Sheet19">
    <tabColor rgb="FFFF0000"/>
    <pageSetUpPr fitToPage="1"/>
  </sheetPr>
  <dimension ref="A1:AH204"/>
  <sheetViews>
    <sheetView topLeftCell="A13" zoomScale="70" zoomScaleNormal="70" zoomScaleSheetLayoutView="80" zoomScalePageLayoutView="90" workbookViewId="0">
      <selection activeCell="O35" sqref="O35"/>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8</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38" priority="3">
      <formula>$AH$199=1</formula>
    </cfRule>
  </conditionalFormatting>
  <conditionalFormatting sqref="G39">
    <cfRule type="expression" dxfId="37" priority="1">
      <formula>$AH$199=3</formula>
    </cfRule>
  </conditionalFormatting>
  <conditionalFormatting sqref="G34">
    <cfRule type="expression" dxfId="36" priority="2">
      <formula>$AH$199=2</formula>
    </cfRule>
  </conditionalFormatting>
  <dataValidations count="5">
    <dataValidation type="list" allowBlank="1" showInputMessage="1" showErrorMessage="1" sqref="K13:L13" xr:uid="{E935AA84-4540-4EDE-B5E0-4089C945B068}">
      <formula1>$AC$199:$AC$205</formula1>
    </dataValidation>
    <dataValidation type="list" allowBlank="1" showInputMessage="1" showErrorMessage="1" sqref="D48:E48" xr:uid="{133B4024-C6C3-4334-91A9-24BDE2BE7DCC}">
      <formula1>$AF$199:$AF$203</formula1>
    </dataValidation>
    <dataValidation type="list" allowBlank="1" showInputMessage="1" showErrorMessage="1" sqref="K14:L14" xr:uid="{AE5D7E86-5B93-463E-8A7E-A42882EB276A}">
      <formula1>$AD$199:$AD$203</formula1>
    </dataValidation>
    <dataValidation type="list" allowBlank="1" showInputMessage="1" showErrorMessage="1" sqref="H23 H21" xr:uid="{364B0B33-1C1A-4C1B-B9F4-8DA416EB48DC}">
      <formula1>$AC$199:$AC$203</formula1>
    </dataValidation>
    <dataValidation type="list" allowBlank="1" showInputMessage="1" showErrorMessage="1" sqref="H14" xr:uid="{8587745C-609C-453F-A6A6-38EA643859A2}">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3490"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3491"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68262-01BE-4599-BDB3-0C7EDB1B0B39}">
  <sheetPr codeName="Sheet20">
    <tabColor rgb="FFFF0000"/>
    <pageSetUpPr fitToPage="1"/>
  </sheetPr>
  <dimension ref="A1:AH204"/>
  <sheetViews>
    <sheetView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9</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35" priority="3">
      <formula>$AH$199=1</formula>
    </cfRule>
  </conditionalFormatting>
  <conditionalFormatting sqref="G39">
    <cfRule type="expression" dxfId="34" priority="1">
      <formula>$AH$199=3</formula>
    </cfRule>
  </conditionalFormatting>
  <conditionalFormatting sqref="G34">
    <cfRule type="expression" dxfId="33" priority="2">
      <formula>$AH$199=2</formula>
    </cfRule>
  </conditionalFormatting>
  <dataValidations count="5">
    <dataValidation type="list" allowBlank="1" showInputMessage="1" showErrorMessage="1" sqref="K13:L13" xr:uid="{80847609-5368-461D-A234-9F51855A7E3F}">
      <formula1>$AC$199:$AC$205</formula1>
    </dataValidation>
    <dataValidation type="list" allowBlank="1" showInputMessage="1" showErrorMessage="1" sqref="D48:E48" xr:uid="{514DAE0D-3833-4359-ACEE-904094A3231A}">
      <formula1>$AF$199:$AF$203</formula1>
    </dataValidation>
    <dataValidation type="list" allowBlank="1" showInputMessage="1" showErrorMessage="1" sqref="K14:L14" xr:uid="{7A7D3BAB-2BD8-4F17-A0B2-4D133B636C25}">
      <formula1>$AD$199:$AD$203</formula1>
    </dataValidation>
    <dataValidation type="list" allowBlank="1" showInputMessage="1" showErrorMessage="1" sqref="H23 H21" xr:uid="{C7D2527F-9B20-491F-B12E-D3DFBA44C5A9}">
      <formula1>$AC$199:$AC$203</formula1>
    </dataValidation>
    <dataValidation type="list" allowBlank="1" showInputMessage="1" showErrorMessage="1" sqref="H14" xr:uid="{89377E13-FB70-44CB-A0B9-A94EA1CC43F0}">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4514"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4515"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7C665-C9F8-4E76-A02C-67A52F68DEA0}">
  <sheetPr codeName="Sheet21">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10</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32" priority="3">
      <formula>$AH$199=1</formula>
    </cfRule>
  </conditionalFormatting>
  <conditionalFormatting sqref="G39">
    <cfRule type="expression" dxfId="31" priority="1">
      <formula>$AH$199=3</formula>
    </cfRule>
  </conditionalFormatting>
  <conditionalFormatting sqref="G34">
    <cfRule type="expression" dxfId="30" priority="2">
      <formula>$AH$199=2</formula>
    </cfRule>
  </conditionalFormatting>
  <dataValidations count="5">
    <dataValidation type="list" allowBlank="1" showInputMessage="1" showErrorMessage="1" sqref="K13:L13" xr:uid="{C467749C-6838-4F1A-9159-DC7C2BFE0310}">
      <formula1>$AC$199:$AC$205</formula1>
    </dataValidation>
    <dataValidation type="list" allowBlank="1" showInputMessage="1" showErrorMessage="1" sqref="D48:E48" xr:uid="{F0D77973-2FEA-4DE9-89C0-9437385ADA6A}">
      <formula1>$AF$199:$AF$203</formula1>
    </dataValidation>
    <dataValidation type="list" allowBlank="1" showInputMessage="1" showErrorMessage="1" sqref="K14:L14" xr:uid="{4F1AA940-A166-4EA3-B9C8-FF3A3250D043}">
      <formula1>$AD$199:$AD$203</formula1>
    </dataValidation>
    <dataValidation type="list" allowBlank="1" showInputMessage="1" showErrorMessage="1" sqref="H23 H21" xr:uid="{413D8C57-A865-4AE2-A359-D3B7B142169C}">
      <formula1>$AC$199:$AC$203</formula1>
    </dataValidation>
    <dataValidation type="list" allowBlank="1" showInputMessage="1" showErrorMessage="1" sqref="H14" xr:uid="{0CC03CDE-B670-4106-AAB5-40FF51E5C3B8}">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5538"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5539"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5EB6D-1617-4A73-8126-3CB19E8E145A}">
  <sheetPr codeName="Sheet22">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11</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29" priority="3">
      <formula>$AH$199=1</formula>
    </cfRule>
  </conditionalFormatting>
  <conditionalFormatting sqref="G39">
    <cfRule type="expression" dxfId="28" priority="1">
      <formula>$AH$199=3</formula>
    </cfRule>
  </conditionalFormatting>
  <conditionalFormatting sqref="G34">
    <cfRule type="expression" dxfId="27" priority="2">
      <formula>$AH$199=2</formula>
    </cfRule>
  </conditionalFormatting>
  <dataValidations count="5">
    <dataValidation type="list" allowBlank="1" showInputMessage="1" showErrorMessage="1" sqref="K13:L13" xr:uid="{65A0EC04-670F-44C0-9989-9C6F24BAEE48}">
      <formula1>$AC$199:$AC$205</formula1>
    </dataValidation>
    <dataValidation type="list" allowBlank="1" showInputMessage="1" showErrorMessage="1" sqref="D48:E48" xr:uid="{3D125860-879D-45C3-8757-9617706E3CA6}">
      <formula1>$AF$199:$AF$203</formula1>
    </dataValidation>
    <dataValidation type="list" allowBlank="1" showInputMessage="1" showErrorMessage="1" sqref="K14:L14" xr:uid="{1192E4E8-1FE0-41CC-9305-A29347EB13A0}">
      <formula1>$AD$199:$AD$203</formula1>
    </dataValidation>
    <dataValidation type="list" allowBlank="1" showInputMessage="1" showErrorMessage="1" sqref="H23 H21" xr:uid="{8D7C7FD2-4584-4686-BD20-E4B8D568708A}">
      <formula1>$AC$199:$AC$203</formula1>
    </dataValidation>
    <dataValidation type="list" allowBlank="1" showInputMessage="1" showErrorMessage="1" sqref="H14" xr:uid="{3103ABAA-14DB-4FE9-9F57-ED839EA30C9F}">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6562"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6563"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93D7-0551-4EEF-A56D-8C24505FF4AA}">
  <sheetPr codeName="Sheet23">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12</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26" priority="3">
      <formula>$AH$199=1</formula>
    </cfRule>
  </conditionalFormatting>
  <conditionalFormatting sqref="G39">
    <cfRule type="expression" dxfId="25" priority="1">
      <formula>$AH$199=3</formula>
    </cfRule>
  </conditionalFormatting>
  <conditionalFormatting sqref="G34">
    <cfRule type="expression" dxfId="24" priority="2">
      <formula>$AH$199=2</formula>
    </cfRule>
  </conditionalFormatting>
  <dataValidations count="5">
    <dataValidation type="list" allowBlank="1" showInputMessage="1" showErrorMessage="1" sqref="K13:L13" xr:uid="{6CEBFDD0-DA21-4FE6-A2D9-31FF5381C461}">
      <formula1>$AC$199:$AC$205</formula1>
    </dataValidation>
    <dataValidation type="list" allowBlank="1" showInputMessage="1" showErrorMessage="1" sqref="D48:E48" xr:uid="{439193D5-9A91-4C08-BB55-78A6C0E82CF6}">
      <formula1>$AF$199:$AF$203</formula1>
    </dataValidation>
    <dataValidation type="list" allowBlank="1" showInputMessage="1" showErrorMessage="1" sqref="K14:L14" xr:uid="{6FDF01E7-3624-49B3-89E3-E14BE63F49C8}">
      <formula1>$AD$199:$AD$203</formula1>
    </dataValidation>
    <dataValidation type="list" allowBlank="1" showInputMessage="1" showErrorMessage="1" sqref="H23 H21" xr:uid="{12C03B1D-17BF-4CB6-B548-C8CFE9298EDC}">
      <formula1>$AC$199:$AC$203</formula1>
    </dataValidation>
    <dataValidation type="list" allowBlank="1" showInputMessage="1" showErrorMessage="1" sqref="H14" xr:uid="{FA11EBE3-3445-4A0D-BC73-1D7479BCC6D3}">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7586"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7587"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DAD79-48EB-406C-BF42-808CE1D15CF4}">
  <sheetPr codeName="Sheet24">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13</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23" priority="3">
      <formula>$AH$199=1</formula>
    </cfRule>
  </conditionalFormatting>
  <conditionalFormatting sqref="G39">
    <cfRule type="expression" dxfId="22" priority="1">
      <formula>$AH$199=3</formula>
    </cfRule>
  </conditionalFormatting>
  <conditionalFormatting sqref="G34">
    <cfRule type="expression" dxfId="21" priority="2">
      <formula>$AH$199=2</formula>
    </cfRule>
  </conditionalFormatting>
  <dataValidations count="5">
    <dataValidation type="list" allowBlank="1" showInputMessage="1" showErrorMessage="1" sqref="K13:L13" xr:uid="{A9129442-5078-400E-BC4B-500D1E805130}">
      <formula1>$AC$199:$AC$205</formula1>
    </dataValidation>
    <dataValidation type="list" allowBlank="1" showInputMessage="1" showErrorMessage="1" sqref="D48:E48" xr:uid="{70034CBE-24D6-40F9-A14E-F3BD87878F0F}">
      <formula1>$AF$199:$AF$203</formula1>
    </dataValidation>
    <dataValidation type="list" allowBlank="1" showInputMessage="1" showErrorMessage="1" sqref="K14:L14" xr:uid="{90B54A6E-1E06-4211-90D4-B819DE35F74E}">
      <formula1>$AD$199:$AD$203</formula1>
    </dataValidation>
    <dataValidation type="list" allowBlank="1" showInputMessage="1" showErrorMessage="1" sqref="H23 H21" xr:uid="{BC0FD85E-F253-49A9-A331-15A49480182D}">
      <formula1>$AC$199:$AC$203</formula1>
    </dataValidation>
    <dataValidation type="list" allowBlank="1" showInputMessage="1" showErrorMessage="1" sqref="H14" xr:uid="{2B9A6955-0708-4343-89C8-21B0ABAF7150}">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8610"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8611"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A6170-5FA0-4C47-9017-4BEDCC451FB5}">
  <sheetPr codeName="Sheet25">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14</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20" priority="3">
      <formula>$AH$199=1</formula>
    </cfRule>
  </conditionalFormatting>
  <conditionalFormatting sqref="G39">
    <cfRule type="expression" dxfId="19" priority="1">
      <formula>$AH$199=3</formula>
    </cfRule>
  </conditionalFormatting>
  <conditionalFormatting sqref="G34">
    <cfRule type="expression" dxfId="18" priority="2">
      <formula>$AH$199=2</formula>
    </cfRule>
  </conditionalFormatting>
  <dataValidations count="5">
    <dataValidation type="list" allowBlank="1" showInputMessage="1" showErrorMessage="1" sqref="K13:L13" xr:uid="{1895C5F9-0F41-41CB-9C83-DD73CF27C60A}">
      <formula1>$AC$199:$AC$205</formula1>
    </dataValidation>
    <dataValidation type="list" allowBlank="1" showInputMessage="1" showErrorMessage="1" sqref="D48:E48" xr:uid="{4AEC6847-247E-4DB7-BF64-ACD29498F090}">
      <formula1>$AF$199:$AF$203</formula1>
    </dataValidation>
    <dataValidation type="list" allowBlank="1" showInputMessage="1" showErrorMessage="1" sqref="K14:L14" xr:uid="{03E693E5-A15B-4645-9E63-1716096C7FBF}">
      <formula1>$AD$199:$AD$203</formula1>
    </dataValidation>
    <dataValidation type="list" allowBlank="1" showInputMessage="1" showErrorMessage="1" sqref="H23 H21" xr:uid="{82197953-24BF-4774-9A9E-85B8AC978085}">
      <formula1>$AC$199:$AC$203</formula1>
    </dataValidation>
    <dataValidation type="list" allowBlank="1" showInputMessage="1" showErrorMessage="1" sqref="H14" xr:uid="{C5D56E8C-CB51-4CFD-9948-C1538FCB400D}">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69634"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69635"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4639D-4E2A-40AD-A10D-B96C6DC17D12}">
  <sheetPr codeName="Sheet26">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15</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17" priority="3">
      <formula>$AH$199=1</formula>
    </cfRule>
  </conditionalFormatting>
  <conditionalFormatting sqref="G39">
    <cfRule type="expression" dxfId="16" priority="1">
      <formula>$AH$199=3</formula>
    </cfRule>
  </conditionalFormatting>
  <conditionalFormatting sqref="G34">
    <cfRule type="expression" dxfId="15" priority="2">
      <formula>$AH$199=2</formula>
    </cfRule>
  </conditionalFormatting>
  <dataValidations count="5">
    <dataValidation type="list" allowBlank="1" showInputMessage="1" showErrorMessage="1" sqref="K13:L13" xr:uid="{E91723E1-0B0C-4950-97EB-D4162CFE75FB}">
      <formula1>$AC$199:$AC$205</formula1>
    </dataValidation>
    <dataValidation type="list" allowBlank="1" showInputMessage="1" showErrorMessage="1" sqref="D48:E48" xr:uid="{E15A9550-F134-438E-822B-41CE2ED5D005}">
      <formula1>$AF$199:$AF$203</formula1>
    </dataValidation>
    <dataValidation type="list" allowBlank="1" showInputMessage="1" showErrorMessage="1" sqref="K14:L14" xr:uid="{4C5B95EC-2868-4E94-9334-B1D6C17375E1}">
      <formula1>$AD$199:$AD$203</formula1>
    </dataValidation>
    <dataValidation type="list" allowBlank="1" showInputMessage="1" showErrorMessage="1" sqref="H23 H21" xr:uid="{63A9E282-558B-4AFB-9CFB-229761D4D10C}">
      <formula1>$AC$199:$AC$203</formula1>
    </dataValidation>
    <dataValidation type="list" allowBlank="1" showInputMessage="1" showErrorMessage="1" sqref="H14" xr:uid="{D5BEC780-C07A-4B1B-BEE7-C0F2DDFF127A}">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7"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0658"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0659"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00FC7-7015-47BB-B125-0EA54B6B1789}">
  <sheetPr codeName="Sheet27">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16</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14" priority="3">
      <formula>$AH$199=1</formula>
    </cfRule>
  </conditionalFormatting>
  <conditionalFormatting sqref="G39">
    <cfRule type="expression" dxfId="13" priority="1">
      <formula>$AH$199=3</formula>
    </cfRule>
  </conditionalFormatting>
  <conditionalFormatting sqref="G34">
    <cfRule type="expression" dxfId="12" priority="2">
      <formula>$AH$199=2</formula>
    </cfRule>
  </conditionalFormatting>
  <dataValidations count="5">
    <dataValidation type="list" allowBlank="1" showInputMessage="1" showErrorMessage="1" sqref="K13:L13" xr:uid="{10608456-BF55-4551-A2A5-215BD3D67276}">
      <formula1>$AC$199:$AC$205</formula1>
    </dataValidation>
    <dataValidation type="list" allowBlank="1" showInputMessage="1" showErrorMessage="1" sqref="D48:E48" xr:uid="{E8D85CAD-9493-4C77-887B-7C19FBE8AFED}">
      <formula1>$AF$199:$AF$203</formula1>
    </dataValidation>
    <dataValidation type="list" allowBlank="1" showInputMessage="1" showErrorMessage="1" sqref="K14:L14" xr:uid="{ADBDDC47-032C-45B9-9EA8-DD28169ADAC2}">
      <formula1>$AD$199:$AD$203</formula1>
    </dataValidation>
    <dataValidation type="list" allowBlank="1" showInputMessage="1" showErrorMessage="1" sqref="H23 H21" xr:uid="{E4656FCC-BC8A-4243-A2D1-5DBA07DC8E94}">
      <formula1>$AC$199:$AC$203</formula1>
    </dataValidation>
    <dataValidation type="list" allowBlank="1" showInputMessage="1" showErrorMessage="1" sqref="H14" xr:uid="{AFA22B5F-57C1-4DBF-9B92-505BED2E2552}">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1682"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1683"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CB485-B78D-4DB3-9241-C4BC6F444153}">
  <sheetPr codeName="Sheet28">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17</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11" priority="3">
      <formula>$AH$199=1</formula>
    </cfRule>
  </conditionalFormatting>
  <conditionalFormatting sqref="G39">
    <cfRule type="expression" dxfId="10" priority="1">
      <formula>$AH$199=3</formula>
    </cfRule>
  </conditionalFormatting>
  <conditionalFormatting sqref="G34">
    <cfRule type="expression" dxfId="9" priority="2">
      <formula>$AH$199=2</formula>
    </cfRule>
  </conditionalFormatting>
  <dataValidations count="5">
    <dataValidation type="list" allowBlank="1" showInputMessage="1" showErrorMessage="1" sqref="K13:L13" xr:uid="{9AB6D5B8-9E43-42F2-A032-AF015F9DB6B1}">
      <formula1>$AC$199:$AC$205</formula1>
    </dataValidation>
    <dataValidation type="list" allowBlank="1" showInputMessage="1" showErrorMessage="1" sqref="D48:E48" xr:uid="{1A48BD3B-E0E8-4DD6-9982-CC9594BE6DF7}">
      <formula1>$AF$199:$AF$203</formula1>
    </dataValidation>
    <dataValidation type="list" allowBlank="1" showInputMessage="1" showErrorMessage="1" sqref="K14:L14" xr:uid="{DF4D7D50-C2B1-4D6A-B5D8-8D18C1C1B840}">
      <formula1>$AD$199:$AD$203</formula1>
    </dataValidation>
    <dataValidation type="list" allowBlank="1" showInputMessage="1" showErrorMessage="1" sqref="H23 H21" xr:uid="{28E2F0F4-C99A-4644-96A1-216AC5643EB3}">
      <formula1>$AC$199:$AC$203</formula1>
    </dataValidation>
    <dataValidation type="list" allowBlank="1" showInputMessage="1" showErrorMessage="1" sqref="H14" xr:uid="{0367B52C-388F-4CAC-B19F-AA2CD69A527F}">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2706"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2707"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CC5C1-DC58-4F3D-A6C6-0D1857448BF0}">
  <sheetPr codeName="Sheet29">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18</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8" priority="3">
      <formula>$AH$199=1</formula>
    </cfRule>
  </conditionalFormatting>
  <conditionalFormatting sqref="G39">
    <cfRule type="expression" dxfId="7" priority="1">
      <formula>$AH$199=3</formula>
    </cfRule>
  </conditionalFormatting>
  <conditionalFormatting sqref="G34">
    <cfRule type="expression" dxfId="6" priority="2">
      <formula>$AH$199=2</formula>
    </cfRule>
  </conditionalFormatting>
  <dataValidations count="5">
    <dataValidation type="list" allowBlank="1" showInputMessage="1" showErrorMessage="1" sqref="K13:L13" xr:uid="{47422EC8-291D-463A-B95D-AA4D07490A75}">
      <formula1>$AC$199:$AC$205</formula1>
    </dataValidation>
    <dataValidation type="list" allowBlank="1" showInputMessage="1" showErrorMessage="1" sqref="D48:E48" xr:uid="{C8D68DC4-9FEF-4783-9148-2C228E3BA23F}">
      <formula1>$AF$199:$AF$203</formula1>
    </dataValidation>
    <dataValidation type="list" allowBlank="1" showInputMessage="1" showErrorMessage="1" sqref="K14:L14" xr:uid="{147D1B05-3D89-496A-B0D6-1441A7E6739C}">
      <formula1>$AD$199:$AD$203</formula1>
    </dataValidation>
    <dataValidation type="list" allowBlank="1" showInputMessage="1" showErrorMessage="1" sqref="H23 H21" xr:uid="{13EEB85F-3521-44B4-9CFE-FD50EF93B324}">
      <formula1>$AC$199:$AC$203</formula1>
    </dataValidation>
    <dataValidation type="list" allowBlank="1" showInputMessage="1" showErrorMessage="1" sqref="H14" xr:uid="{448D130A-4783-4B74-BEC1-A3FC3230CA05}">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3730"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3731"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ED7F1-FA30-4170-BE8E-75C34C284582}">
  <sheetPr codeName="Sheet30">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19</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5" priority="3">
      <formula>$AH$199=1</formula>
    </cfRule>
  </conditionalFormatting>
  <conditionalFormatting sqref="G39">
    <cfRule type="expression" dxfId="4" priority="1">
      <formula>$AH$199=3</formula>
    </cfRule>
  </conditionalFormatting>
  <conditionalFormatting sqref="G34">
    <cfRule type="expression" dxfId="3" priority="2">
      <formula>$AH$199=2</formula>
    </cfRule>
  </conditionalFormatting>
  <dataValidations count="5">
    <dataValidation type="list" allowBlank="1" showInputMessage="1" showErrorMessage="1" sqref="K13:L13" xr:uid="{3CE06C69-C7AD-44CD-8756-6697E1B57819}">
      <formula1>$AC$199:$AC$205</formula1>
    </dataValidation>
    <dataValidation type="list" allowBlank="1" showInputMessage="1" showErrorMessage="1" sqref="D48:E48" xr:uid="{62CF1FD3-9E32-44F5-BC3A-5E585A3AB0FF}">
      <formula1>$AF$199:$AF$203</formula1>
    </dataValidation>
    <dataValidation type="list" allowBlank="1" showInputMessage="1" showErrorMessage="1" sqref="K14:L14" xr:uid="{08A4A393-AC20-47AC-B210-D2BA3773D176}">
      <formula1>$AD$199:$AD$203</formula1>
    </dataValidation>
    <dataValidation type="list" allowBlank="1" showInputMessage="1" showErrorMessage="1" sqref="H23 H21" xr:uid="{A5A171DC-3292-4D3D-9EBE-0DE8CAC21957}">
      <formula1>$AC$199:$AC$203</formula1>
    </dataValidation>
    <dataValidation type="list" allowBlank="1" showInputMessage="1" showErrorMessage="1" sqref="H14" xr:uid="{51EE1E2E-51F6-4772-8429-40D1B0AFD645}">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4754"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4755"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87AE-736D-466B-8515-2FB7D20D455D}">
  <sheetPr codeName="Sheet31">
    <tabColor rgb="FFFF0000"/>
    <pageSetUpPr fitToPage="1"/>
  </sheetPr>
  <dimension ref="A1:AH204"/>
  <sheetViews>
    <sheetView topLeftCell="A13" zoomScale="70" zoomScaleNormal="70" zoomScaleSheetLayoutView="80" zoomScalePageLayoutView="90" workbookViewId="0">
      <selection activeCell="A37" sqref="A37:XFD37"/>
    </sheetView>
  </sheetViews>
  <sheetFormatPr defaultRowHeight="15" x14ac:dyDescent="0.25"/>
  <cols>
    <col min="1" max="1" width="9.85546875" customWidth="1"/>
    <col min="2" max="2" width="13.7109375" customWidth="1"/>
    <col min="3" max="3" width="16.5703125" customWidth="1"/>
    <col min="4" max="4" width="8.85546875" customWidth="1"/>
    <col min="5" max="5" width="14.140625" customWidth="1"/>
    <col min="6" max="6" width="15.28515625" customWidth="1"/>
    <col min="7" max="7" width="25.5703125" customWidth="1"/>
    <col min="8" max="8" width="19.85546875" customWidth="1"/>
    <col min="9" max="9" width="14.28515625" customWidth="1"/>
    <col min="10" max="10" width="38.7109375" customWidth="1"/>
    <col min="11" max="11" width="13.140625" customWidth="1"/>
    <col min="12" max="12" width="10.28515625" customWidth="1"/>
    <col min="13" max="13" width="10.42578125" customWidth="1"/>
  </cols>
  <sheetData>
    <row r="1" spans="1:15" ht="20.25" thickTop="1" thickBot="1" x14ac:dyDescent="0.45">
      <c r="A1" s="152"/>
      <c r="B1" s="153"/>
      <c r="C1" s="153"/>
      <c r="D1" s="153"/>
      <c r="E1" s="153"/>
      <c r="F1" s="153"/>
      <c r="G1" s="153"/>
      <c r="H1" s="153"/>
      <c r="I1" s="153"/>
      <c r="J1" s="153"/>
      <c r="K1" s="153"/>
      <c r="L1" s="153"/>
      <c r="M1" s="154"/>
    </row>
    <row r="2" spans="1:15" ht="15" customHeight="1" x14ac:dyDescent="0.25">
      <c r="A2" s="155"/>
      <c r="B2" s="451" t="s">
        <v>59</v>
      </c>
      <c r="C2" s="452"/>
      <c r="D2" s="452"/>
      <c r="E2" s="452"/>
      <c r="F2" s="452"/>
      <c r="G2" s="452"/>
      <c r="H2" s="452"/>
      <c r="I2" s="452"/>
      <c r="J2" s="452"/>
      <c r="K2" s="452"/>
      <c r="L2" s="453"/>
      <c r="M2" s="156"/>
    </row>
    <row r="3" spans="1:15" ht="18.75" customHeight="1" x14ac:dyDescent="0.25">
      <c r="A3" s="155"/>
      <c r="B3" s="454"/>
      <c r="C3" s="455"/>
      <c r="D3" s="455"/>
      <c r="E3" s="455"/>
      <c r="F3" s="455"/>
      <c r="G3" s="455"/>
      <c r="H3" s="455"/>
      <c r="I3" s="455"/>
      <c r="J3" s="455"/>
      <c r="K3" s="455"/>
      <c r="L3" s="456"/>
      <c r="M3" s="156"/>
    </row>
    <row r="4" spans="1:15" ht="18.75" customHeight="1" x14ac:dyDescent="0.25">
      <c r="A4" s="155"/>
      <c r="B4" s="454"/>
      <c r="C4" s="455"/>
      <c r="D4" s="455"/>
      <c r="E4" s="455"/>
      <c r="F4" s="455"/>
      <c r="G4" s="455"/>
      <c r="H4" s="455"/>
      <c r="I4" s="455"/>
      <c r="J4" s="455"/>
      <c r="K4" s="455"/>
      <c r="L4" s="456"/>
      <c r="M4" s="156"/>
    </row>
    <row r="5" spans="1:15" ht="18.75" customHeight="1" x14ac:dyDescent="0.25">
      <c r="A5" s="155"/>
      <c r="B5" s="454"/>
      <c r="C5" s="455"/>
      <c r="D5" s="455"/>
      <c r="E5" s="455"/>
      <c r="F5" s="455"/>
      <c r="G5" s="455"/>
      <c r="H5" s="455"/>
      <c r="I5" s="455"/>
      <c r="J5" s="455"/>
      <c r="K5" s="455"/>
      <c r="L5" s="456"/>
      <c r="M5" s="156"/>
    </row>
    <row r="6" spans="1:15" ht="18.75" customHeight="1" thickBot="1" x14ac:dyDescent="0.3">
      <c r="A6" s="157"/>
      <c r="B6" s="457"/>
      <c r="C6" s="458"/>
      <c r="D6" s="458"/>
      <c r="E6" s="458"/>
      <c r="F6" s="458"/>
      <c r="G6" s="458"/>
      <c r="H6" s="458"/>
      <c r="I6" s="458"/>
      <c r="J6" s="458"/>
      <c r="K6" s="458"/>
      <c r="L6" s="459"/>
      <c r="M6" s="156"/>
    </row>
    <row r="7" spans="1:15" ht="15" customHeight="1" thickBot="1" x14ac:dyDescent="0.3">
      <c r="A7" s="158"/>
      <c r="B7" s="159"/>
      <c r="C7" s="159"/>
      <c r="D7" s="159"/>
      <c r="E7" s="159"/>
      <c r="F7" s="159"/>
      <c r="G7" s="159"/>
      <c r="H7" s="159"/>
      <c r="I7" s="159"/>
      <c r="J7" s="159"/>
      <c r="K7" s="159"/>
      <c r="L7" s="159"/>
      <c r="M7" s="160"/>
    </row>
    <row r="8" spans="1:15" ht="15" customHeight="1" thickBot="1" x14ac:dyDescent="0.3">
      <c r="A8" s="158"/>
      <c r="B8" s="161" t="s">
        <v>2</v>
      </c>
      <c r="C8" s="247"/>
      <c r="D8" s="159"/>
      <c r="E8" s="159"/>
      <c r="F8" s="159"/>
      <c r="G8" s="159"/>
      <c r="H8" s="159"/>
      <c r="I8" s="159"/>
      <c r="J8" s="159"/>
      <c r="K8" s="159"/>
      <c r="L8" s="159"/>
      <c r="M8" s="160"/>
    </row>
    <row r="9" spans="1:15" ht="15" customHeight="1" x14ac:dyDescent="0.25">
      <c r="A9" s="158"/>
      <c r="B9" s="162"/>
      <c r="C9" s="162"/>
      <c r="D9" s="159"/>
      <c r="E9" s="159"/>
      <c r="F9" s="159"/>
      <c r="G9" s="159"/>
      <c r="H9" s="159"/>
      <c r="I9" s="159"/>
      <c r="J9" s="159"/>
      <c r="K9" s="159"/>
      <c r="L9" s="159"/>
      <c r="M9" s="160"/>
    </row>
    <row r="10" spans="1:15" ht="15" customHeight="1" thickBot="1" x14ac:dyDescent="0.3">
      <c r="A10" s="158"/>
      <c r="B10" s="162"/>
      <c r="C10" s="162"/>
      <c r="D10" s="162"/>
      <c r="E10" s="159"/>
      <c r="F10" s="159"/>
      <c r="G10" s="159"/>
      <c r="H10" s="159"/>
      <c r="I10" s="159"/>
      <c r="J10" s="159"/>
      <c r="K10" s="159"/>
      <c r="L10" s="159"/>
      <c r="M10" s="160"/>
    </row>
    <row r="11" spans="1:15" ht="15.75" x14ac:dyDescent="0.25">
      <c r="A11" s="163"/>
      <c r="B11" s="444" t="s">
        <v>22</v>
      </c>
      <c r="C11" s="444"/>
      <c r="D11" s="460"/>
      <c r="E11" s="460"/>
      <c r="F11" s="159"/>
      <c r="G11" s="164" t="s">
        <v>62</v>
      </c>
      <c r="H11" s="367">
        <v>20</v>
      </c>
      <c r="I11" s="165"/>
      <c r="J11" s="164" t="s">
        <v>64</v>
      </c>
      <c r="K11" s="464"/>
      <c r="L11" s="464"/>
      <c r="M11" s="160"/>
      <c r="O11" s="1"/>
    </row>
    <row r="12" spans="1:15" ht="15.75" x14ac:dyDescent="0.25">
      <c r="A12" s="163"/>
      <c r="B12" s="445" t="s">
        <v>39</v>
      </c>
      <c r="C12" s="445"/>
      <c r="D12" s="461" t="s">
        <v>199</v>
      </c>
      <c r="E12" s="461"/>
      <c r="F12" s="159"/>
      <c r="G12" s="361" t="s">
        <v>63</v>
      </c>
      <c r="H12" s="368"/>
      <c r="I12" s="165"/>
      <c r="J12" s="361" t="s">
        <v>112</v>
      </c>
      <c r="K12" s="465"/>
      <c r="L12" s="465"/>
      <c r="M12" s="160"/>
    </row>
    <row r="13" spans="1:15" ht="15.75" x14ac:dyDescent="0.25">
      <c r="A13" s="163"/>
      <c r="B13" s="445" t="s">
        <v>60</v>
      </c>
      <c r="C13" s="445"/>
      <c r="D13" s="462"/>
      <c r="E13" s="462"/>
      <c r="F13" s="159"/>
      <c r="G13" s="361" t="s">
        <v>183</v>
      </c>
      <c r="H13" s="368"/>
      <c r="I13" s="165"/>
      <c r="J13" s="361" t="s">
        <v>186</v>
      </c>
      <c r="K13" s="465"/>
      <c r="L13" s="465"/>
      <c r="M13" s="160"/>
    </row>
    <row r="14" spans="1:15" ht="16.5" thickBot="1" x14ac:dyDescent="0.3">
      <c r="A14" s="163"/>
      <c r="B14" s="446" t="s">
        <v>61</v>
      </c>
      <c r="C14" s="446"/>
      <c r="D14" s="463"/>
      <c r="E14" s="463"/>
      <c r="F14" s="159"/>
      <c r="G14" s="362" t="s">
        <v>65</v>
      </c>
      <c r="H14" s="369"/>
      <c r="I14" s="165"/>
      <c r="J14" s="362" t="s">
        <v>113</v>
      </c>
      <c r="K14" s="466"/>
      <c r="L14" s="466"/>
      <c r="M14" s="160"/>
    </row>
    <row r="15" spans="1:15" ht="15.75" x14ac:dyDescent="0.25">
      <c r="A15" s="163"/>
      <c r="B15" s="166"/>
      <c r="C15" s="166"/>
      <c r="D15" s="162"/>
      <c r="E15" s="162"/>
      <c r="F15" s="159"/>
      <c r="G15" s="165"/>
      <c r="H15" s="159"/>
      <c r="I15" s="165"/>
      <c r="J15" s="165"/>
      <c r="K15" s="167"/>
      <c r="L15" s="167"/>
      <c r="M15" s="160"/>
    </row>
    <row r="16" spans="1:15" ht="16.5" thickBot="1" x14ac:dyDescent="0.3">
      <c r="A16" s="163"/>
      <c r="B16" s="168"/>
      <c r="C16" s="168"/>
      <c r="D16" s="169"/>
      <c r="E16" s="159"/>
      <c r="F16" s="159"/>
      <c r="G16" s="159"/>
      <c r="H16" s="159"/>
      <c r="I16" s="159"/>
      <c r="J16" s="159"/>
      <c r="K16" s="159"/>
      <c r="L16" s="159"/>
      <c r="M16" s="160"/>
    </row>
    <row r="17" spans="1:17" ht="18.75" thickBot="1" x14ac:dyDescent="0.3">
      <c r="A17" s="170"/>
      <c r="B17" s="467" t="s">
        <v>66</v>
      </c>
      <c r="C17" s="467"/>
      <c r="D17" s="467"/>
      <c r="E17" s="467"/>
      <c r="F17" s="467"/>
      <c r="G17" s="467"/>
      <c r="H17" s="467"/>
      <c r="I17" s="467"/>
      <c r="J17" s="467"/>
      <c r="K17" s="467"/>
      <c r="L17" s="467"/>
      <c r="M17" s="160"/>
    </row>
    <row r="18" spans="1:17" ht="16.5" thickBot="1" x14ac:dyDescent="0.3">
      <c r="A18" s="171"/>
      <c r="B18" s="169"/>
      <c r="C18" s="169"/>
      <c r="D18" s="169"/>
      <c r="E18" s="159"/>
      <c r="F18" s="159"/>
      <c r="G18" s="159"/>
      <c r="H18" s="159"/>
      <c r="I18" s="159"/>
      <c r="J18" s="159"/>
      <c r="K18" s="159"/>
      <c r="L18" s="159"/>
      <c r="M18" s="160"/>
    </row>
    <row r="19" spans="1:17" ht="16.5" thickBot="1" x14ac:dyDescent="0.3">
      <c r="A19" s="172"/>
      <c r="B19" s="169"/>
      <c r="C19" s="444" t="s">
        <v>67</v>
      </c>
      <c r="D19" s="444"/>
      <c r="E19" s="243"/>
      <c r="F19" s="159"/>
      <c r="G19" s="164" t="s">
        <v>136</v>
      </c>
      <c r="H19" s="246"/>
      <c r="I19" s="159"/>
      <c r="J19" s="432" t="s">
        <v>76</v>
      </c>
      <c r="K19" s="434"/>
      <c r="L19" s="173"/>
      <c r="M19" s="160"/>
    </row>
    <row r="20" spans="1:17" ht="15.75" x14ac:dyDescent="0.25">
      <c r="A20" s="172"/>
      <c r="B20" s="174"/>
      <c r="C20" s="445" t="s">
        <v>68</v>
      </c>
      <c r="D20" s="445"/>
      <c r="E20" s="244"/>
      <c r="F20" s="159"/>
      <c r="G20" s="361" t="s">
        <v>7</v>
      </c>
      <c r="H20" s="368"/>
      <c r="I20" s="159"/>
      <c r="J20" s="164" t="s">
        <v>73</v>
      </c>
      <c r="K20" s="175" t="str">
        <f>IF('Pre Job'!F24="","",IF(E19&lt;'Pre Job'!F24,(('Pre Job'!E24^2)*0.0009714*E19),IF(AND(E19&gt;'Pre Job'!F24, E19 &lt;'Pre Job'!F25),(('Pre Job'!E24^2)*0.0009714*'Pre Job'!G25) + (('Pre Job'!E25^2)*0.0009714*(E19-'Pre Job'!G25)),(('Pre Job'!E24^2)*0.0009714*'Pre Job'!G25 + (('Pre Job'!E25^2)*0.0009714*('Pre Job'!G26 - 'Pre Job'!G25))+(('Pre Job'!E26^2)*0.0009714*(E19 - 'Pre Job'!G26))))))</f>
        <v/>
      </c>
      <c r="L20" s="176"/>
      <c r="M20" s="160"/>
    </row>
    <row r="21" spans="1:17" ht="15.75" x14ac:dyDescent="0.25">
      <c r="A21" s="172"/>
      <c r="B21" s="174"/>
      <c r="C21" s="445" t="s">
        <v>69</v>
      </c>
      <c r="D21" s="445"/>
      <c r="E21" s="244"/>
      <c r="F21" s="159"/>
      <c r="G21" s="361" t="s">
        <v>70</v>
      </c>
      <c r="H21" s="368"/>
      <c r="I21" s="159"/>
      <c r="J21" s="361" t="s">
        <v>74</v>
      </c>
      <c r="K21" s="177" t="str">
        <f>IF('Pre Job'!F24="","",IF(E20&lt;'Pre Job'!F24,(('Pre Job'!E24^2)*0.0009714*E20),IF(AND(E20&gt;'Pre Job'!F24, E20 &lt;'Pre Job'!F25),(('Pre Job'!E24^2)*0.0009714*'Pre Job'!G25) + (('Pre Job'!E25^2)*0.0009714*(E20-'Pre Job'!G25)),(('Pre Job'!E24^2)*0.0009714*'Pre Job'!G25 + (('Pre Job'!E25^2)*0.0009714*('Pre Job'!G26 - 'Pre Job'!G25))+(('Pre Job'!E26^2)*0.0009714*(E20 - 'Pre Job'!G26))))))</f>
        <v/>
      </c>
      <c r="L21" s="178"/>
      <c r="M21" s="160"/>
    </row>
    <row r="22" spans="1:17" ht="16.5" thickBot="1" x14ac:dyDescent="0.3">
      <c r="A22" s="172"/>
      <c r="B22" s="174"/>
      <c r="C22" s="468" t="s">
        <v>72</v>
      </c>
      <c r="D22" s="468"/>
      <c r="E22" s="368"/>
      <c r="F22" s="174"/>
      <c r="G22" s="361" t="s">
        <v>71</v>
      </c>
      <c r="H22" s="368"/>
      <c r="I22" s="174"/>
      <c r="J22" s="362" t="s">
        <v>75</v>
      </c>
      <c r="K22" s="179" t="str">
        <f>IF('Pre Job'!F24="","",IF(E21&lt;'Pre Job'!F24,(('Pre Job'!E24^2)*0.0009714*E21),IF(AND(E21&gt;'Pre Job'!F24, E21 &lt;'Pre Job'!F25),(('Pre Job'!E24^2)*0.0009714*'Pre Job'!G25) + (('Pre Job'!E25^2)*0.0009714*(E21-'Pre Job'!G25)),(('Pre Job'!E24^2)*0.0009714*'Pre Job'!G25 + (('Pre Job'!E25^2)*0.0009714*('Pre Job'!G26 - 'Pre Job'!G25))+(('Pre Job'!E26^2)*0.0009714*(E21 - 'Pre Job'!G26))))))</f>
        <v/>
      </c>
      <c r="L22" s="178"/>
      <c r="M22" s="160"/>
    </row>
    <row r="23" spans="1:17" ht="16.5" thickBot="1" x14ac:dyDescent="0.3">
      <c r="A23" s="172"/>
      <c r="B23" s="174"/>
      <c r="C23" s="469" t="s">
        <v>189</v>
      </c>
      <c r="D23" s="469"/>
      <c r="E23" s="369"/>
      <c r="F23" s="174"/>
      <c r="G23" s="362" t="s">
        <v>8</v>
      </c>
      <c r="H23" s="369"/>
      <c r="I23" s="174"/>
      <c r="J23" s="174"/>
      <c r="K23" s="174"/>
      <c r="L23" s="174"/>
      <c r="M23" s="160"/>
    </row>
    <row r="24" spans="1:17" ht="15.75" x14ac:dyDescent="0.25">
      <c r="A24" s="180"/>
      <c r="B24" s="174"/>
      <c r="C24" s="174"/>
      <c r="D24" s="174"/>
      <c r="E24" s="174"/>
      <c r="F24" s="174"/>
      <c r="G24" s="174"/>
      <c r="H24" s="174"/>
      <c r="I24" s="174"/>
      <c r="J24" s="174"/>
      <c r="K24" s="174"/>
      <c r="L24" s="174"/>
      <c r="M24" s="160"/>
    </row>
    <row r="25" spans="1:17" ht="16.5" thickBot="1" x14ac:dyDescent="0.3">
      <c r="A25" s="180"/>
      <c r="B25" s="174"/>
      <c r="C25" s="174"/>
      <c r="D25" s="174"/>
      <c r="E25" s="174"/>
      <c r="F25" s="174"/>
      <c r="G25" s="174"/>
      <c r="H25" s="174"/>
      <c r="I25" s="174"/>
      <c r="J25" s="174"/>
      <c r="K25" s="174"/>
      <c r="L25" s="174"/>
      <c r="M25" s="160"/>
    </row>
    <row r="26" spans="1:17" ht="18.75" thickBot="1" x14ac:dyDescent="0.3">
      <c r="A26" s="180"/>
      <c r="B26" s="470" t="s">
        <v>77</v>
      </c>
      <c r="C26" s="471"/>
      <c r="D26" s="471"/>
      <c r="E26" s="471"/>
      <c r="F26" s="471"/>
      <c r="G26" s="471"/>
      <c r="H26" s="471"/>
      <c r="I26" s="471"/>
      <c r="J26" s="471"/>
      <c r="K26" s="471"/>
      <c r="L26" s="472"/>
      <c r="M26" s="160"/>
      <c r="Q26">
        <f>H30</f>
        <v>0</v>
      </c>
    </row>
    <row r="27" spans="1:17" ht="16.5" thickBot="1" x14ac:dyDescent="0.3">
      <c r="A27" s="180"/>
      <c r="B27" s="174"/>
      <c r="C27" s="174"/>
      <c r="D27" s="162"/>
      <c r="E27" s="159"/>
      <c r="F27" s="159"/>
      <c r="G27" s="159"/>
      <c r="H27" s="159"/>
      <c r="I27" s="159"/>
      <c r="J27" s="159"/>
      <c r="K27" s="159"/>
      <c r="L27" s="159"/>
      <c r="M27" s="160"/>
    </row>
    <row r="28" spans="1:17" ht="16.5" thickBot="1" x14ac:dyDescent="0.3">
      <c r="A28" s="180"/>
      <c r="B28" s="444" t="s">
        <v>78</v>
      </c>
      <c r="C28" s="444"/>
      <c r="D28" s="447"/>
      <c r="E28" s="447"/>
      <c r="F28" s="159"/>
      <c r="G28" s="440" t="s">
        <v>167</v>
      </c>
      <c r="H28" s="441"/>
      <c r="I28" s="159"/>
      <c r="J28" s="432" t="s">
        <v>88</v>
      </c>
      <c r="K28" s="433"/>
      <c r="L28" s="434"/>
      <c r="M28" s="160"/>
    </row>
    <row r="29" spans="1:17" ht="16.5" thickBot="1" x14ac:dyDescent="0.3">
      <c r="A29" s="180"/>
      <c r="B29" s="445" t="s">
        <v>81</v>
      </c>
      <c r="C29" s="445"/>
      <c r="D29" s="448"/>
      <c r="E29" s="448"/>
      <c r="F29" s="159"/>
      <c r="G29" s="449" t="s">
        <v>82</v>
      </c>
      <c r="H29" s="450"/>
      <c r="I29" s="159"/>
      <c r="J29" s="181" t="s">
        <v>83</v>
      </c>
      <c r="K29" s="181" t="s">
        <v>6</v>
      </c>
      <c r="L29" s="181" t="s">
        <v>5</v>
      </c>
      <c r="M29" s="160"/>
    </row>
    <row r="30" spans="1:17" ht="15.75" x14ac:dyDescent="0.25">
      <c r="A30" s="180"/>
      <c r="B30" s="445" t="s">
        <v>79</v>
      </c>
      <c r="C30" s="445"/>
      <c r="D30" s="442"/>
      <c r="E30" s="442"/>
      <c r="F30" s="159"/>
      <c r="G30" s="182" t="s">
        <v>84</v>
      </c>
      <c r="H30" s="233"/>
      <c r="I30" s="159"/>
      <c r="J30" s="183" t="s">
        <v>91</v>
      </c>
      <c r="K30" s="367"/>
      <c r="L30" s="367"/>
      <c r="M30" s="160"/>
    </row>
    <row r="31" spans="1:17" ht="16.5" thickBot="1" x14ac:dyDescent="0.3">
      <c r="A31" s="180"/>
      <c r="B31" s="446" t="s">
        <v>80</v>
      </c>
      <c r="C31" s="446"/>
      <c r="D31" s="443"/>
      <c r="E31" s="443"/>
      <c r="F31" s="159"/>
      <c r="G31" s="360" t="s">
        <v>85</v>
      </c>
      <c r="H31" s="365"/>
      <c r="I31" s="159"/>
      <c r="J31" s="184" t="s">
        <v>92</v>
      </c>
      <c r="K31" s="230"/>
      <c r="L31" s="230"/>
      <c r="M31" s="160"/>
    </row>
    <row r="32" spans="1:17" ht="19.5" thickBot="1" x14ac:dyDescent="0.3">
      <c r="A32" s="180"/>
      <c r="B32" s="174"/>
      <c r="C32" s="174"/>
      <c r="D32" s="174"/>
      <c r="E32" s="174"/>
      <c r="F32" s="174"/>
      <c r="G32" s="364" t="s">
        <v>125</v>
      </c>
      <c r="H32" s="366"/>
      <c r="I32" s="159"/>
      <c r="J32" s="184" t="s">
        <v>184</v>
      </c>
      <c r="K32" s="230"/>
      <c r="L32" s="230"/>
      <c r="M32" s="160"/>
    </row>
    <row r="33" spans="1:13" ht="16.5" thickBot="1" x14ac:dyDescent="0.3">
      <c r="A33" s="180"/>
      <c r="B33" s="437" t="s">
        <v>89</v>
      </c>
      <c r="C33" s="438"/>
      <c r="D33" s="438"/>
      <c r="E33" s="439"/>
      <c r="F33" s="159"/>
      <c r="G33" s="159"/>
      <c r="H33" s="159"/>
      <c r="I33" s="159"/>
      <c r="J33" s="184" t="str">
        <f xml:space="preserve"> IF(H30="","Total Sand [lbs]","Total " &amp; H30 &amp;" [lbs]:")</f>
        <v>Total Sand [lbs]</v>
      </c>
      <c r="K33" s="230"/>
      <c r="L33" s="230"/>
      <c r="M33" s="160"/>
    </row>
    <row r="34" spans="1:13" ht="16.5" thickBot="1" x14ac:dyDescent="0.3">
      <c r="A34" s="180"/>
      <c r="B34" s="477" t="s">
        <v>90</v>
      </c>
      <c r="C34" s="477"/>
      <c r="D34" s="478"/>
      <c r="E34" s="478"/>
      <c r="F34" s="159"/>
      <c r="G34" s="449" t="s">
        <v>86</v>
      </c>
      <c r="H34" s="450"/>
      <c r="I34" s="159"/>
      <c r="J34" s="184" t="str">
        <f xml:space="preserve"> IF(H35="","Total Sand [lbs]","Total " &amp; H35 &amp;" [lbs]:")</f>
        <v>Total Sand [lbs]</v>
      </c>
      <c r="K34" s="231"/>
      <c r="L34" s="231"/>
      <c r="M34" s="160"/>
    </row>
    <row r="35" spans="1:13" ht="15.75" x14ac:dyDescent="0.25">
      <c r="A35" s="180"/>
      <c r="B35" s="479" t="s">
        <v>95</v>
      </c>
      <c r="C35" s="479"/>
      <c r="D35" s="480"/>
      <c r="E35" s="480"/>
      <c r="F35" s="159"/>
      <c r="G35" s="182" t="s">
        <v>84</v>
      </c>
      <c r="H35" s="233"/>
      <c r="I35" s="159"/>
      <c r="J35" s="184" t="str">
        <f xml:space="preserve"> IF(H40="","Total Sand [lbs]","Total " &amp; H40 &amp;" [lbs]:")</f>
        <v>Total Sand [lbs]</v>
      </c>
      <c r="K35" s="231"/>
      <c r="L35" s="231"/>
      <c r="M35" s="160"/>
    </row>
    <row r="36" spans="1:13" ht="16.5" thickBot="1" x14ac:dyDescent="0.3">
      <c r="A36" s="180"/>
      <c r="B36" s="435" t="s">
        <v>94</v>
      </c>
      <c r="C36" s="435"/>
      <c r="D36" s="436" t="str">
        <f>IF(L30="","N/A",((L30+D35)/(1+(L30*(1/(8.34*$AH$200))))))</f>
        <v>N/A</v>
      </c>
      <c r="E36" s="436"/>
      <c r="F36" s="159"/>
      <c r="G36" s="360" t="s">
        <v>85</v>
      </c>
      <c r="H36" s="365"/>
      <c r="I36" s="159"/>
      <c r="J36" s="185" t="s">
        <v>96</v>
      </c>
      <c r="K36" s="231"/>
      <c r="L36" s="231"/>
      <c r="M36" s="160"/>
    </row>
    <row r="37" spans="1:13" ht="19.5" thickBot="1" x14ac:dyDescent="0.3">
      <c r="A37" s="180"/>
      <c r="B37" s="484"/>
      <c r="C37" s="484"/>
      <c r="D37" s="162"/>
      <c r="E37" s="159"/>
      <c r="F37" s="159"/>
      <c r="G37" s="364" t="s">
        <v>125</v>
      </c>
      <c r="H37" s="366"/>
      <c r="I37" s="159"/>
      <c r="J37" s="185" t="s">
        <v>93</v>
      </c>
      <c r="K37" s="231"/>
      <c r="L37" s="231"/>
      <c r="M37" s="160"/>
    </row>
    <row r="38" spans="1:13" ht="16.5" thickBot="1" x14ac:dyDescent="0.3">
      <c r="A38" s="180"/>
      <c r="B38" s="485" t="s">
        <v>97</v>
      </c>
      <c r="C38" s="485"/>
      <c r="D38" s="485"/>
      <c r="E38" s="485"/>
      <c r="F38" s="159"/>
      <c r="G38" s="159"/>
      <c r="H38" s="159"/>
      <c r="I38" s="159"/>
      <c r="J38" s="186" t="s">
        <v>192</v>
      </c>
      <c r="K38" s="232"/>
      <c r="L38" s="232"/>
      <c r="M38" s="160"/>
    </row>
    <row r="39" spans="1:13" ht="16.5" thickBot="1" x14ac:dyDescent="0.3">
      <c r="A39" s="180"/>
      <c r="B39" s="359" t="s">
        <v>100</v>
      </c>
      <c r="C39" s="359" t="s">
        <v>83</v>
      </c>
      <c r="D39" s="359" t="s">
        <v>98</v>
      </c>
      <c r="E39" s="181" t="s">
        <v>99</v>
      </c>
      <c r="F39" s="159"/>
      <c r="G39" s="449" t="s">
        <v>87</v>
      </c>
      <c r="H39" s="450"/>
      <c r="I39" s="159"/>
      <c r="J39" s="159"/>
      <c r="K39" s="159"/>
      <c r="L39" s="159"/>
      <c r="M39" s="160"/>
    </row>
    <row r="40" spans="1:13" ht="15.75" x14ac:dyDescent="0.25">
      <c r="A40" s="180"/>
      <c r="B40" s="363" t="s">
        <v>101</v>
      </c>
      <c r="C40" s="357"/>
      <c r="D40" s="237"/>
      <c r="E40" s="238"/>
      <c r="F40" s="159"/>
      <c r="G40" s="187" t="s">
        <v>84</v>
      </c>
      <c r="H40" s="233"/>
      <c r="I40" s="159"/>
      <c r="J40" s="159"/>
      <c r="K40" s="159"/>
      <c r="L40" s="159"/>
      <c r="M40" s="160"/>
    </row>
    <row r="41" spans="1:13" ht="15.75" x14ac:dyDescent="0.25">
      <c r="A41" s="180"/>
      <c r="B41" s="360" t="s">
        <v>102</v>
      </c>
      <c r="C41" s="365"/>
      <c r="D41" s="239"/>
      <c r="E41" s="240"/>
      <c r="F41" s="159"/>
      <c r="G41" s="358" t="s">
        <v>85</v>
      </c>
      <c r="H41" s="365"/>
      <c r="I41" s="159"/>
      <c r="J41" s="159"/>
      <c r="K41" s="159"/>
      <c r="L41" s="159"/>
      <c r="M41" s="160"/>
    </row>
    <row r="42" spans="1:13" ht="19.5" thickBot="1" x14ac:dyDescent="0.3">
      <c r="A42" s="180"/>
      <c r="B42" s="188" t="s">
        <v>103</v>
      </c>
      <c r="C42" s="241"/>
      <c r="D42" s="241"/>
      <c r="E42" s="242"/>
      <c r="F42" s="159"/>
      <c r="G42" s="370" t="s">
        <v>125</v>
      </c>
      <c r="H42" s="366"/>
      <c r="I42" s="159"/>
      <c r="J42" s="159"/>
      <c r="K42" s="159"/>
      <c r="L42" s="159"/>
      <c r="M42" s="160"/>
    </row>
    <row r="43" spans="1:13" ht="15.75" x14ac:dyDescent="0.25">
      <c r="A43" s="180"/>
      <c r="B43" s="174"/>
      <c r="C43" s="174"/>
      <c r="D43" s="162"/>
      <c r="E43" s="159"/>
      <c r="F43" s="159"/>
      <c r="G43" s="159"/>
      <c r="H43" s="159"/>
      <c r="I43" s="159"/>
      <c r="J43" s="159"/>
      <c r="K43" s="159"/>
      <c r="L43" s="159"/>
      <c r="M43" s="160"/>
    </row>
    <row r="44" spans="1:13" ht="16.5" thickBot="1" x14ac:dyDescent="0.3">
      <c r="A44" s="180"/>
      <c r="B44" s="174"/>
      <c r="C44" s="174"/>
      <c r="D44" s="162"/>
      <c r="E44" s="159"/>
      <c r="F44" s="159"/>
      <c r="G44" s="159"/>
      <c r="H44" s="159"/>
      <c r="I44" s="159"/>
      <c r="J44" s="159"/>
      <c r="K44" s="159"/>
      <c r="L44" s="159"/>
      <c r="M44" s="160"/>
    </row>
    <row r="45" spans="1:13" ht="18.75" thickBot="1" x14ac:dyDescent="0.3">
      <c r="A45" s="180"/>
      <c r="B45" s="481" t="s">
        <v>104</v>
      </c>
      <c r="C45" s="482"/>
      <c r="D45" s="482"/>
      <c r="E45" s="482"/>
      <c r="F45" s="482"/>
      <c r="G45" s="482"/>
      <c r="H45" s="482"/>
      <c r="I45" s="482"/>
      <c r="J45" s="482"/>
      <c r="K45" s="482"/>
      <c r="L45" s="483"/>
      <c r="M45" s="160"/>
    </row>
    <row r="46" spans="1:13" ht="16.5" thickBot="1" x14ac:dyDescent="0.3">
      <c r="A46" s="180"/>
      <c r="B46" s="174"/>
      <c r="C46" s="174"/>
      <c r="D46" s="174"/>
      <c r="E46" s="174"/>
      <c r="F46" s="159"/>
      <c r="G46" s="159"/>
      <c r="H46" s="159"/>
      <c r="I46" s="159"/>
      <c r="J46" s="159"/>
      <c r="K46" s="159"/>
      <c r="L46" s="159"/>
      <c r="M46" s="160"/>
    </row>
    <row r="47" spans="1:13" ht="16.5" thickBot="1" x14ac:dyDescent="0.3">
      <c r="A47" s="180"/>
      <c r="B47" s="174"/>
      <c r="C47" s="449" t="s">
        <v>105</v>
      </c>
      <c r="D47" s="487"/>
      <c r="E47" s="450"/>
      <c r="F47" s="162"/>
      <c r="G47" s="162"/>
      <c r="H47" s="162"/>
      <c r="I47" s="162"/>
      <c r="J47" s="162"/>
      <c r="K47" s="162"/>
      <c r="L47" s="162"/>
      <c r="M47" s="248"/>
    </row>
    <row r="48" spans="1:13" ht="16.5" thickBot="1" x14ac:dyDescent="0.3">
      <c r="A48" s="180"/>
      <c r="B48" s="174"/>
      <c r="C48" s="189" t="s">
        <v>118</v>
      </c>
      <c r="D48" s="488"/>
      <c r="E48" s="489"/>
      <c r="F48" s="162"/>
      <c r="G48" s="449" t="s">
        <v>106</v>
      </c>
      <c r="H48" s="486"/>
      <c r="I48" s="162"/>
      <c r="J48" s="449" t="s">
        <v>107</v>
      </c>
      <c r="K48" s="486"/>
      <c r="L48" s="159"/>
      <c r="M48" s="248"/>
    </row>
    <row r="49" spans="1:13" ht="15.75" x14ac:dyDescent="0.25">
      <c r="A49" s="180"/>
      <c r="B49" s="174"/>
      <c r="C49" s="190" t="s">
        <v>119</v>
      </c>
      <c r="D49" s="473"/>
      <c r="E49" s="474"/>
      <c r="F49" s="162"/>
      <c r="G49" s="363" t="s">
        <v>3</v>
      </c>
      <c r="H49" s="372"/>
      <c r="I49" s="162"/>
      <c r="J49" s="363" t="s">
        <v>3</v>
      </c>
      <c r="K49" s="372"/>
      <c r="L49" s="159"/>
      <c r="M49" s="248"/>
    </row>
    <row r="50" spans="1:13" ht="15.75" x14ac:dyDescent="0.25">
      <c r="A50" s="180"/>
      <c r="B50" s="174"/>
      <c r="C50" s="190" t="s">
        <v>120</v>
      </c>
      <c r="D50" s="473"/>
      <c r="E50" s="474"/>
      <c r="F50" s="159"/>
      <c r="G50" s="360" t="s">
        <v>123</v>
      </c>
      <c r="H50" s="371"/>
      <c r="I50" s="159"/>
      <c r="J50" s="360" t="s">
        <v>123</v>
      </c>
      <c r="K50" s="371"/>
      <c r="L50" s="159"/>
      <c r="M50" s="160"/>
    </row>
    <row r="51" spans="1:13" ht="16.5" thickBot="1" x14ac:dyDescent="0.3">
      <c r="A51" s="180"/>
      <c r="B51" s="174"/>
      <c r="C51" s="190" t="s">
        <v>122</v>
      </c>
      <c r="D51" s="473"/>
      <c r="E51" s="474"/>
      <c r="F51" s="159"/>
      <c r="G51" s="362" t="s">
        <v>124</v>
      </c>
      <c r="H51" s="369"/>
      <c r="I51" s="159"/>
      <c r="J51" s="362" t="s">
        <v>124</v>
      </c>
      <c r="K51" s="369"/>
      <c r="L51" s="159"/>
      <c r="M51" s="160"/>
    </row>
    <row r="52" spans="1:13" ht="16.5" thickBot="1" x14ac:dyDescent="0.3">
      <c r="A52" s="180"/>
      <c r="B52" s="174"/>
      <c r="C52" s="191" t="s">
        <v>121</v>
      </c>
      <c r="D52" s="475"/>
      <c r="E52" s="476"/>
      <c r="F52" s="249"/>
      <c r="G52" s="356"/>
      <c r="H52" s="249"/>
      <c r="I52" s="159"/>
      <c r="J52" s="159"/>
      <c r="K52" s="159"/>
      <c r="L52" s="159"/>
      <c r="M52" s="160"/>
    </row>
    <row r="53" spans="1:13" ht="15.75" x14ac:dyDescent="0.25">
      <c r="A53" s="180"/>
      <c r="B53" s="174"/>
      <c r="C53" s="174"/>
      <c r="D53" s="162"/>
      <c r="E53" s="159"/>
      <c r="F53" s="159"/>
      <c r="G53" s="159"/>
      <c r="H53" s="159"/>
      <c r="I53" s="159"/>
      <c r="J53" s="159"/>
      <c r="K53" s="159"/>
      <c r="L53" s="159"/>
      <c r="M53" s="160"/>
    </row>
    <row r="54" spans="1:13" ht="15.75" x14ac:dyDescent="0.25">
      <c r="A54" s="180"/>
      <c r="B54" s="174"/>
      <c r="C54" s="174"/>
      <c r="D54" s="162"/>
      <c r="E54" s="159"/>
      <c r="F54" s="159"/>
      <c r="G54" s="159"/>
      <c r="H54" s="159"/>
      <c r="I54" s="159"/>
      <c r="J54" s="159"/>
      <c r="K54" s="159"/>
      <c r="L54" s="159"/>
      <c r="M54" s="160"/>
    </row>
    <row r="55" spans="1:13" ht="15.75" x14ac:dyDescent="0.25">
      <c r="A55" s="180"/>
      <c r="B55" s="174"/>
      <c r="C55" s="174"/>
      <c r="D55" s="162"/>
      <c r="E55" s="159"/>
      <c r="F55" s="159"/>
      <c r="G55" s="159"/>
      <c r="H55" s="159"/>
      <c r="I55" s="159"/>
      <c r="J55" s="159"/>
      <c r="K55" s="159"/>
      <c r="L55" s="159"/>
      <c r="M55" s="160"/>
    </row>
    <row r="56" spans="1:13" ht="15.75" x14ac:dyDescent="0.25">
      <c r="A56" s="180"/>
      <c r="B56" s="174"/>
      <c r="C56" s="174"/>
      <c r="D56" s="162"/>
      <c r="E56" s="159"/>
      <c r="F56" s="159"/>
      <c r="G56" s="159"/>
      <c r="H56" s="159"/>
      <c r="I56" s="159"/>
      <c r="J56" s="159"/>
      <c r="K56" s="159"/>
      <c r="L56" s="159"/>
      <c r="M56" s="160"/>
    </row>
    <row r="57" spans="1:13" ht="15.75" x14ac:dyDescent="0.25">
      <c r="A57" s="180"/>
      <c r="B57" s="174"/>
      <c r="C57" s="174"/>
      <c r="D57" s="162"/>
      <c r="E57" s="159"/>
      <c r="F57" s="159"/>
      <c r="G57" s="159"/>
      <c r="H57" s="159"/>
      <c r="I57" s="159"/>
      <c r="J57" s="159"/>
      <c r="K57" s="159"/>
      <c r="L57" s="159"/>
      <c r="M57" s="160"/>
    </row>
    <row r="58" spans="1:13" ht="15.75" x14ac:dyDescent="0.25">
      <c r="A58" s="180"/>
      <c r="B58" s="174"/>
      <c r="C58" s="174"/>
      <c r="D58" s="162"/>
      <c r="E58" s="159"/>
      <c r="F58" s="159"/>
      <c r="G58" s="159"/>
      <c r="H58" s="159"/>
      <c r="I58" s="159"/>
      <c r="J58" s="159"/>
      <c r="K58" s="159"/>
      <c r="L58" s="159"/>
      <c r="M58" s="160"/>
    </row>
    <row r="59" spans="1:13" ht="15.75" x14ac:dyDescent="0.25">
      <c r="A59" s="180"/>
      <c r="B59" s="174"/>
      <c r="C59" s="174"/>
      <c r="D59" s="162"/>
      <c r="E59" s="159"/>
      <c r="F59" s="159"/>
      <c r="G59" s="159"/>
      <c r="H59" s="159"/>
      <c r="I59" s="159"/>
      <c r="J59" s="159"/>
      <c r="K59" s="159"/>
      <c r="L59" s="159"/>
      <c r="M59" s="160"/>
    </row>
    <row r="60" spans="1:13" ht="15.75" x14ac:dyDescent="0.25">
      <c r="A60" s="180"/>
      <c r="B60" s="174"/>
      <c r="C60" s="174"/>
      <c r="D60" s="162"/>
      <c r="E60" s="159"/>
      <c r="F60" s="159"/>
      <c r="G60" s="159"/>
      <c r="H60" s="159"/>
      <c r="I60" s="159"/>
      <c r="J60" s="159"/>
      <c r="K60" s="159"/>
      <c r="L60" s="159"/>
      <c r="M60" s="160"/>
    </row>
    <row r="61" spans="1:13" ht="15.75" x14ac:dyDescent="0.25">
      <c r="A61" s="180"/>
      <c r="B61" s="174"/>
      <c r="C61" s="174"/>
      <c r="D61" s="162"/>
      <c r="E61" s="159"/>
      <c r="F61" s="159"/>
      <c r="G61" s="159"/>
      <c r="H61" s="159"/>
      <c r="I61" s="159"/>
      <c r="J61" s="159"/>
      <c r="K61" s="159"/>
      <c r="L61" s="159"/>
      <c r="M61" s="160"/>
    </row>
    <row r="62" spans="1:13" ht="15.75" x14ac:dyDescent="0.25">
      <c r="A62" s="180"/>
      <c r="B62" s="174"/>
      <c r="C62" s="174"/>
      <c r="D62" s="162"/>
      <c r="E62" s="159"/>
      <c r="F62" s="159"/>
      <c r="G62" s="159"/>
      <c r="H62" s="159"/>
      <c r="I62" s="159"/>
      <c r="J62" s="159"/>
      <c r="K62" s="159"/>
      <c r="L62" s="159"/>
      <c r="M62" s="160"/>
    </row>
    <row r="63" spans="1:13" ht="15.75" x14ac:dyDescent="0.25">
      <c r="A63" s="180"/>
      <c r="B63" s="174"/>
      <c r="C63" s="174"/>
      <c r="D63" s="162"/>
      <c r="E63" s="159"/>
      <c r="F63" s="159"/>
      <c r="G63" s="159"/>
      <c r="H63" s="159"/>
      <c r="I63" s="159"/>
      <c r="J63" s="159"/>
      <c r="K63" s="159"/>
      <c r="L63" s="159"/>
      <c r="M63" s="160"/>
    </row>
    <row r="64" spans="1:13" ht="15.75" x14ac:dyDescent="0.25">
      <c r="A64" s="180"/>
      <c r="B64" s="174"/>
      <c r="C64" s="174"/>
      <c r="D64" s="162"/>
      <c r="E64" s="159"/>
      <c r="F64" s="159"/>
      <c r="G64" s="159"/>
      <c r="H64" s="159"/>
      <c r="I64" s="159"/>
      <c r="J64" s="159"/>
      <c r="K64" s="159"/>
      <c r="L64" s="159"/>
      <c r="M64" s="160"/>
    </row>
    <row r="65" spans="1:13" ht="15.75" x14ac:dyDescent="0.25">
      <c r="A65" s="180"/>
      <c r="B65" s="174"/>
      <c r="C65" s="174"/>
      <c r="D65" s="162"/>
      <c r="E65" s="159"/>
      <c r="F65" s="159"/>
      <c r="G65" s="159"/>
      <c r="H65" s="159"/>
      <c r="I65" s="159"/>
      <c r="J65" s="159"/>
      <c r="K65" s="159"/>
      <c r="L65" s="159"/>
      <c r="M65" s="160"/>
    </row>
    <row r="66" spans="1:13" ht="15.75" x14ac:dyDescent="0.25">
      <c r="A66" s="180"/>
      <c r="B66" s="174"/>
      <c r="C66" s="174"/>
      <c r="D66" s="162"/>
      <c r="E66" s="159"/>
      <c r="F66" s="159"/>
      <c r="G66" s="159"/>
      <c r="H66" s="159"/>
      <c r="I66" s="159"/>
      <c r="J66" s="159"/>
      <c r="K66" s="159"/>
      <c r="L66" s="159"/>
      <c r="M66" s="160"/>
    </row>
    <row r="67" spans="1:13" ht="15.75" x14ac:dyDescent="0.25">
      <c r="A67" s="180"/>
      <c r="B67" s="174"/>
      <c r="C67" s="174"/>
      <c r="D67" s="162"/>
      <c r="E67" s="159"/>
      <c r="F67" s="159"/>
      <c r="G67" s="159"/>
      <c r="H67" s="159"/>
      <c r="I67" s="159"/>
      <c r="J67" s="159"/>
      <c r="K67" s="159"/>
      <c r="L67" s="159"/>
      <c r="M67" s="160"/>
    </row>
    <row r="68" spans="1:13" ht="15.75" x14ac:dyDescent="0.25">
      <c r="A68" s="180"/>
      <c r="B68" s="174"/>
      <c r="C68" s="174"/>
      <c r="D68" s="162"/>
      <c r="E68" s="159"/>
      <c r="F68" s="159"/>
      <c r="G68" s="159"/>
      <c r="H68" s="159"/>
      <c r="I68" s="159"/>
      <c r="J68" s="159"/>
      <c r="K68" s="159"/>
      <c r="L68" s="159"/>
      <c r="M68" s="160"/>
    </row>
    <row r="69" spans="1:13" ht="15.75" x14ac:dyDescent="0.25">
      <c r="A69" s="180"/>
      <c r="B69" s="174"/>
      <c r="C69" s="174"/>
      <c r="D69" s="162"/>
      <c r="E69" s="159"/>
      <c r="F69" s="159"/>
      <c r="G69" s="159"/>
      <c r="H69" s="159"/>
      <c r="I69" s="159"/>
      <c r="J69" s="159"/>
      <c r="K69" s="159"/>
      <c r="L69" s="159"/>
      <c r="M69" s="160"/>
    </row>
    <row r="70" spans="1:13" ht="15.75" x14ac:dyDescent="0.25">
      <c r="A70" s="180"/>
      <c r="B70" s="174"/>
      <c r="C70" s="159"/>
      <c r="D70" s="159"/>
      <c r="E70" s="159"/>
      <c r="F70" s="159"/>
      <c r="G70" s="159"/>
      <c r="H70" s="159"/>
      <c r="I70" s="159"/>
      <c r="J70" s="159"/>
      <c r="K70" s="159"/>
      <c r="L70" s="159"/>
      <c r="M70" s="160"/>
    </row>
    <row r="71" spans="1:13" ht="15.75" x14ac:dyDescent="0.25">
      <c r="A71" s="180"/>
      <c r="B71" s="174"/>
      <c r="C71" s="174"/>
      <c r="D71" s="162"/>
      <c r="E71" s="159"/>
      <c r="F71" s="159"/>
      <c r="G71" s="159"/>
      <c r="H71" s="159"/>
      <c r="I71" s="159"/>
      <c r="J71" s="159"/>
      <c r="K71" s="159"/>
      <c r="L71" s="159"/>
      <c r="M71" s="160"/>
    </row>
    <row r="72" spans="1:13" ht="15.75" x14ac:dyDescent="0.25">
      <c r="A72" s="180"/>
      <c r="B72" s="174"/>
      <c r="C72" s="174"/>
      <c r="D72" s="162"/>
      <c r="E72" s="159"/>
      <c r="F72" s="159"/>
      <c r="G72" s="159"/>
      <c r="H72" s="159"/>
      <c r="I72" s="159"/>
      <c r="J72" s="159"/>
      <c r="K72" s="159"/>
      <c r="L72" s="159"/>
      <c r="M72" s="160"/>
    </row>
    <row r="73" spans="1:13" ht="15.75" customHeight="1" x14ac:dyDescent="0.25">
      <c r="A73" s="180"/>
      <c r="B73" s="174"/>
      <c r="C73" s="174"/>
      <c r="D73" s="174"/>
      <c r="E73" s="174"/>
      <c r="F73" s="174"/>
      <c r="G73" s="174"/>
      <c r="H73" s="174"/>
      <c r="I73" s="174"/>
      <c r="J73" s="174"/>
      <c r="K73" s="174"/>
      <c r="L73" s="174"/>
      <c r="M73" s="192"/>
    </row>
    <row r="74" spans="1:13" ht="15.75" customHeight="1" x14ac:dyDescent="0.25">
      <c r="A74" s="180"/>
      <c r="B74" s="174"/>
      <c r="C74" s="174"/>
      <c r="D74" s="174"/>
      <c r="E74" s="174"/>
      <c r="F74" s="174"/>
      <c r="G74" s="174"/>
      <c r="H74" s="174"/>
      <c r="I74" s="174"/>
      <c r="J74" s="174"/>
      <c r="K74" s="174"/>
      <c r="L74" s="174"/>
      <c r="M74" s="192"/>
    </row>
    <row r="75" spans="1:13" ht="15.75" customHeight="1" x14ac:dyDescent="0.25">
      <c r="A75" s="180"/>
      <c r="B75" s="174"/>
      <c r="C75" s="174"/>
      <c r="D75" s="174"/>
      <c r="E75" s="174"/>
      <c r="F75" s="174"/>
      <c r="G75" s="174"/>
      <c r="H75" s="174"/>
      <c r="I75" s="174"/>
      <c r="J75" s="174"/>
      <c r="K75" s="174"/>
      <c r="L75" s="174"/>
      <c r="M75" s="192"/>
    </row>
    <row r="76" spans="1:13" ht="15.75" customHeight="1" x14ac:dyDescent="0.25">
      <c r="A76" s="180"/>
      <c r="B76" s="174"/>
      <c r="C76" s="174"/>
      <c r="D76" s="174"/>
      <c r="E76" s="174"/>
      <c r="F76" s="174"/>
      <c r="G76" s="174"/>
      <c r="H76" s="174"/>
      <c r="I76" s="174"/>
      <c r="J76" s="174"/>
      <c r="K76" s="174"/>
      <c r="L76" s="174"/>
      <c r="M76" s="192"/>
    </row>
    <row r="77" spans="1:13" ht="15.75" customHeight="1" x14ac:dyDescent="0.25">
      <c r="A77" s="180"/>
      <c r="B77" s="174"/>
      <c r="C77" s="174"/>
      <c r="D77" s="174"/>
      <c r="E77" s="174"/>
      <c r="F77" s="174"/>
      <c r="G77" s="174"/>
      <c r="H77" s="174"/>
      <c r="I77" s="174"/>
      <c r="J77" s="174"/>
      <c r="K77" s="174"/>
      <c r="L77" s="174"/>
      <c r="M77" s="192"/>
    </row>
    <row r="78" spans="1:13" ht="15.75" customHeight="1" x14ac:dyDescent="0.25">
      <c r="A78" s="180"/>
      <c r="B78" s="174"/>
      <c r="C78" s="174"/>
      <c r="D78" s="174"/>
      <c r="E78" s="174"/>
      <c r="F78" s="174"/>
      <c r="G78" s="174"/>
      <c r="H78" s="174"/>
      <c r="I78" s="174"/>
      <c r="J78" s="174"/>
      <c r="K78" s="174"/>
      <c r="L78" s="174"/>
      <c r="M78" s="192"/>
    </row>
    <row r="79" spans="1:13" ht="15.75" customHeight="1" thickBot="1" x14ac:dyDescent="0.3">
      <c r="A79" s="193"/>
      <c r="B79" s="194"/>
      <c r="C79" s="194"/>
      <c r="D79" s="194"/>
      <c r="E79" s="194"/>
      <c r="F79" s="194"/>
      <c r="G79" s="194"/>
      <c r="H79" s="194"/>
      <c r="I79" s="194"/>
      <c r="J79" s="194"/>
      <c r="K79" s="194"/>
      <c r="L79" s="194"/>
      <c r="M79" s="195"/>
    </row>
    <row r="80" spans="1:13" ht="15.75" customHeight="1" thickTop="1" x14ac:dyDescent="0.25">
      <c r="A80" s="61"/>
      <c r="B80" s="61"/>
      <c r="C80" s="61"/>
      <c r="D80" s="61"/>
      <c r="E80" s="61"/>
      <c r="F80" s="61"/>
      <c r="G80" s="61"/>
      <c r="H80" s="61"/>
      <c r="I80" s="61"/>
      <c r="J80" s="61"/>
      <c r="K80" s="61"/>
      <c r="L80" s="61"/>
      <c r="M80" s="61"/>
    </row>
    <row r="81" spans="1:13" ht="15.75" customHeight="1" x14ac:dyDescent="0.25">
      <c r="A81" s="54"/>
      <c r="B81" s="54"/>
      <c r="C81" s="54"/>
      <c r="D81" s="54"/>
      <c r="E81" s="54"/>
      <c r="F81" s="54"/>
      <c r="G81" s="54"/>
      <c r="H81" s="54"/>
      <c r="I81" s="54"/>
      <c r="J81" s="54"/>
      <c r="K81" s="54"/>
      <c r="L81" s="54"/>
      <c r="M81" s="54"/>
    </row>
    <row r="82" spans="1:13" ht="15.75" customHeight="1" x14ac:dyDescent="0.25">
      <c r="A82" s="54"/>
      <c r="B82" s="54"/>
      <c r="C82" s="54"/>
      <c r="D82" s="54"/>
      <c r="E82" s="54"/>
      <c r="F82" s="54"/>
      <c r="G82" s="54"/>
      <c r="H82" s="54"/>
      <c r="I82" s="54"/>
      <c r="J82" s="54"/>
      <c r="K82" s="54"/>
      <c r="L82" s="54"/>
      <c r="M82" s="54"/>
    </row>
    <row r="83" spans="1:13" ht="15.75" customHeight="1" x14ac:dyDescent="0.25">
      <c r="A83" s="54"/>
      <c r="B83" s="54"/>
      <c r="C83" s="54"/>
      <c r="D83" s="54"/>
      <c r="E83" s="54"/>
      <c r="F83" s="54"/>
      <c r="G83" s="54"/>
      <c r="H83" s="54"/>
      <c r="I83" s="54"/>
      <c r="J83" s="54"/>
      <c r="K83" s="54"/>
      <c r="L83" s="54"/>
      <c r="M83" s="54"/>
    </row>
    <row r="84" spans="1:13" ht="15.75" customHeight="1" x14ac:dyDescent="0.25">
      <c r="A84" s="54"/>
      <c r="B84" s="54"/>
      <c r="C84" s="54"/>
      <c r="D84" s="54"/>
      <c r="E84" s="54"/>
      <c r="F84" s="54"/>
      <c r="G84" s="54"/>
      <c r="H84" s="54"/>
      <c r="I84" s="54"/>
      <c r="J84" s="54"/>
      <c r="K84" s="54"/>
      <c r="L84" s="54"/>
      <c r="M84" s="54"/>
    </row>
    <row r="85" spans="1:13" ht="15.75" customHeight="1" x14ac:dyDescent="0.25">
      <c r="A85" s="54"/>
      <c r="B85" s="54"/>
      <c r="C85" s="54"/>
      <c r="D85" s="54"/>
      <c r="E85" s="54"/>
      <c r="F85" s="54"/>
      <c r="G85" s="54"/>
      <c r="H85" s="54"/>
      <c r="I85" s="54"/>
      <c r="J85" s="54"/>
      <c r="K85" s="54"/>
      <c r="L85" s="54"/>
      <c r="M85" s="54"/>
    </row>
    <row r="86" spans="1:13" ht="15.75" customHeight="1" x14ac:dyDescent="0.25">
      <c r="A86" s="54"/>
      <c r="B86" s="54"/>
      <c r="C86" s="54"/>
      <c r="D86" s="54"/>
      <c r="E86" s="54"/>
      <c r="F86" s="54"/>
      <c r="G86" s="54"/>
      <c r="H86" s="54"/>
      <c r="I86" s="54"/>
      <c r="J86" s="54"/>
      <c r="K86" s="54"/>
      <c r="L86" s="54"/>
      <c r="M86" s="54"/>
    </row>
    <row r="87" spans="1:13" ht="15.75" customHeight="1" x14ac:dyDescent="0.25">
      <c r="A87" s="54"/>
      <c r="B87" s="54"/>
      <c r="C87" s="54"/>
      <c r="D87" s="54"/>
      <c r="E87" s="54"/>
      <c r="F87" s="54"/>
      <c r="G87" s="54"/>
      <c r="H87" s="54"/>
      <c r="I87" s="54"/>
      <c r="J87" s="54"/>
      <c r="K87" s="54"/>
      <c r="L87" s="54"/>
      <c r="M87" s="54"/>
    </row>
    <row r="88" spans="1:13" ht="15.75" customHeight="1" x14ac:dyDescent="0.25">
      <c r="A88" s="54"/>
      <c r="B88" s="54"/>
      <c r="C88" s="54"/>
      <c r="D88" s="54"/>
      <c r="E88" s="54"/>
      <c r="F88" s="54"/>
      <c r="G88" s="54"/>
      <c r="H88" s="54"/>
      <c r="I88" s="54"/>
      <c r="J88" s="54"/>
      <c r="K88" s="54"/>
      <c r="L88" s="54"/>
      <c r="M88" s="54"/>
    </row>
    <row r="89" spans="1:13" ht="15.75" customHeight="1" x14ac:dyDescent="0.25">
      <c r="A89" s="54"/>
      <c r="B89" s="54"/>
      <c r="C89" s="54"/>
      <c r="D89" s="54"/>
      <c r="E89" s="54"/>
      <c r="F89" s="54"/>
      <c r="G89" s="54"/>
      <c r="H89" s="54"/>
      <c r="I89" s="54"/>
      <c r="J89" s="54"/>
      <c r="K89" s="54"/>
      <c r="L89" s="54"/>
      <c r="M89" s="54"/>
    </row>
    <row r="90" spans="1:13" ht="15.75" customHeight="1" x14ac:dyDescent="0.25">
      <c r="A90" s="54"/>
      <c r="B90" s="54"/>
      <c r="C90" s="54"/>
      <c r="D90" s="54"/>
      <c r="E90" s="54"/>
      <c r="F90" s="54"/>
      <c r="G90" s="54"/>
      <c r="H90" s="54"/>
      <c r="I90" s="54"/>
      <c r="J90" s="54"/>
      <c r="K90" s="54"/>
      <c r="L90" s="54"/>
      <c r="M90" s="54"/>
    </row>
    <row r="91" spans="1:13" ht="15.75" customHeight="1" x14ac:dyDescent="0.25">
      <c r="A91" s="54"/>
      <c r="B91" s="54"/>
      <c r="C91" s="54"/>
      <c r="D91" s="54"/>
      <c r="E91" s="54"/>
      <c r="F91" s="54"/>
      <c r="G91" s="54"/>
      <c r="H91" s="54"/>
      <c r="I91" s="54"/>
      <c r="J91" s="54"/>
      <c r="K91" s="54"/>
      <c r="L91" s="54"/>
      <c r="M91" s="54"/>
    </row>
    <row r="92" spans="1:13" ht="15.75" customHeight="1" x14ac:dyDescent="0.25">
      <c r="A92" s="54"/>
      <c r="B92" s="54"/>
      <c r="C92" s="54"/>
      <c r="D92" s="54"/>
      <c r="E92" s="54"/>
      <c r="F92" s="54"/>
      <c r="G92" s="54"/>
      <c r="H92" s="54"/>
      <c r="I92" s="54"/>
      <c r="J92" s="54"/>
      <c r="K92" s="54"/>
      <c r="L92" s="54"/>
      <c r="M92" s="54"/>
    </row>
    <row r="93" spans="1:13" ht="15.75" customHeight="1" x14ac:dyDescent="0.25">
      <c r="A93" s="54"/>
      <c r="B93" s="54"/>
      <c r="C93" s="54"/>
      <c r="D93" s="54"/>
      <c r="E93" s="54"/>
      <c r="F93" s="54"/>
      <c r="G93" s="54"/>
      <c r="H93" s="54"/>
      <c r="I93" s="54"/>
      <c r="J93" s="54"/>
      <c r="K93" s="54"/>
      <c r="L93" s="54"/>
      <c r="M93" s="54"/>
    </row>
    <row r="94" spans="1:13" ht="15.75" customHeight="1" x14ac:dyDescent="0.25">
      <c r="A94" s="54"/>
      <c r="B94" s="54"/>
      <c r="C94" s="54"/>
      <c r="D94" s="54"/>
      <c r="E94" s="54"/>
      <c r="F94" s="54"/>
      <c r="G94" s="54"/>
      <c r="H94" s="54"/>
      <c r="I94" s="54"/>
      <c r="J94" s="54"/>
      <c r="K94" s="54"/>
      <c r="L94" s="54"/>
      <c r="M94" s="54"/>
    </row>
    <row r="95" spans="1:13" ht="15.75" customHeight="1" x14ac:dyDescent="0.25">
      <c r="A95" s="54"/>
      <c r="B95" s="54"/>
      <c r="C95" s="54"/>
      <c r="D95" s="54"/>
      <c r="E95" s="54"/>
      <c r="F95" s="54"/>
      <c r="G95" s="54"/>
      <c r="H95" s="54"/>
      <c r="I95" s="54"/>
      <c r="J95" s="54"/>
      <c r="K95" s="54"/>
      <c r="L95" s="54"/>
      <c r="M95" s="54"/>
    </row>
    <row r="96" spans="1:13" ht="15.75" customHeight="1" x14ac:dyDescent="0.25">
      <c r="A96" s="54"/>
      <c r="B96" s="54"/>
      <c r="C96" s="54"/>
      <c r="D96" s="54"/>
      <c r="E96" s="54"/>
      <c r="F96" s="54"/>
      <c r="G96" s="54"/>
      <c r="H96" s="54"/>
      <c r="I96" s="54"/>
      <c r="J96" s="54"/>
      <c r="K96" s="54"/>
      <c r="L96" s="54"/>
      <c r="M96" s="54"/>
    </row>
    <row r="97" spans="1:13" ht="15.75" customHeight="1" x14ac:dyDescent="0.25">
      <c r="A97" s="54"/>
      <c r="B97" s="54"/>
      <c r="C97" s="54"/>
      <c r="D97" s="54"/>
      <c r="E97" s="54"/>
      <c r="F97" s="54"/>
      <c r="G97" s="54"/>
      <c r="H97" s="54"/>
      <c r="I97" s="54"/>
      <c r="J97" s="54"/>
      <c r="K97" s="54"/>
      <c r="L97" s="54"/>
      <c r="M97" s="54"/>
    </row>
    <row r="98" spans="1:13" ht="15.75" customHeight="1" x14ac:dyDescent="0.25">
      <c r="A98" s="54"/>
      <c r="B98" s="54"/>
      <c r="C98" s="54"/>
      <c r="D98" s="54"/>
      <c r="E98" s="54"/>
      <c r="F98" s="54"/>
      <c r="G98" s="54"/>
      <c r="H98" s="54"/>
      <c r="I98" s="54"/>
      <c r="J98" s="54"/>
      <c r="K98" s="54"/>
      <c r="L98" s="54"/>
      <c r="M98" s="54"/>
    </row>
    <row r="99" spans="1:13" ht="15.75" customHeight="1" x14ac:dyDescent="0.25">
      <c r="A99" s="54"/>
      <c r="B99" s="54"/>
      <c r="C99" s="54"/>
      <c r="D99" s="54"/>
      <c r="E99" s="54"/>
      <c r="F99" s="54"/>
      <c r="G99" s="54"/>
      <c r="H99" s="54"/>
      <c r="I99" s="54"/>
      <c r="J99" s="54"/>
      <c r="K99" s="54"/>
      <c r="L99" s="54"/>
      <c r="M99" s="54"/>
    </row>
    <row r="100" spans="1:13" ht="15.75" customHeight="1" x14ac:dyDescent="0.25">
      <c r="A100" s="54"/>
      <c r="B100" s="54"/>
      <c r="C100" s="54"/>
      <c r="D100" s="54"/>
      <c r="E100" s="54"/>
      <c r="F100" s="54"/>
      <c r="G100" s="54"/>
      <c r="H100" s="54"/>
      <c r="I100" s="54"/>
      <c r="J100" s="54"/>
      <c r="K100" s="54"/>
      <c r="L100" s="54"/>
      <c r="M100" s="54"/>
    </row>
    <row r="101" spans="1:13" ht="15.75" customHeight="1" x14ac:dyDescent="0.25">
      <c r="A101" s="54"/>
      <c r="B101" s="54"/>
      <c r="C101" s="54"/>
      <c r="D101" s="54"/>
      <c r="E101" s="54"/>
      <c r="F101" s="54"/>
      <c r="G101" s="54"/>
      <c r="H101" s="54"/>
      <c r="I101" s="54"/>
      <c r="J101" s="54"/>
      <c r="K101" s="54"/>
      <c r="L101" s="54"/>
      <c r="M101" s="54"/>
    </row>
    <row r="102" spans="1:13" ht="15.75" customHeight="1" x14ac:dyDescent="0.25">
      <c r="A102" s="54"/>
      <c r="B102" s="54"/>
      <c r="C102" s="54"/>
      <c r="D102" s="54"/>
      <c r="E102" s="54"/>
      <c r="F102" s="54"/>
      <c r="G102" s="54"/>
      <c r="H102" s="54"/>
      <c r="I102" s="54"/>
      <c r="J102" s="54"/>
      <c r="K102" s="54"/>
      <c r="L102" s="54"/>
      <c r="M102" s="54"/>
    </row>
    <row r="103" spans="1:13" ht="15.75" customHeight="1" x14ac:dyDescent="0.25">
      <c r="A103" s="54"/>
      <c r="B103" s="54"/>
      <c r="C103" s="54"/>
      <c r="D103" s="54"/>
      <c r="E103" s="54"/>
      <c r="F103" s="54"/>
      <c r="G103" s="54"/>
      <c r="H103" s="54"/>
      <c r="I103" s="54"/>
      <c r="J103" s="54"/>
      <c r="K103" s="54"/>
      <c r="L103" s="54"/>
      <c r="M103" s="54"/>
    </row>
    <row r="104" spans="1:13" ht="15.75" customHeight="1" x14ac:dyDescent="0.25">
      <c r="A104" s="54"/>
      <c r="B104" s="54"/>
      <c r="C104" s="54"/>
      <c r="D104" s="54"/>
      <c r="E104" s="54"/>
      <c r="F104" s="54"/>
      <c r="G104" s="54"/>
      <c r="H104" s="54"/>
      <c r="I104" s="54"/>
      <c r="J104" s="54"/>
      <c r="K104" s="54"/>
      <c r="L104" s="54"/>
      <c r="M104" s="54"/>
    </row>
    <row r="105" spans="1:13" ht="15.75" x14ac:dyDescent="0.25">
      <c r="E105" s="22"/>
      <c r="F105" s="23"/>
      <c r="G105" s="23"/>
      <c r="H105" s="22"/>
      <c r="I105" s="22"/>
      <c r="J105" s="22"/>
      <c r="K105" s="22"/>
      <c r="L105" s="22"/>
    </row>
    <row r="106" spans="1:13" x14ac:dyDescent="0.25">
      <c r="E106" s="22"/>
      <c r="F106" s="22"/>
      <c r="G106" s="22"/>
      <c r="H106" s="22"/>
      <c r="I106" s="22"/>
      <c r="J106" s="22"/>
      <c r="K106" s="22"/>
      <c r="L106" s="22"/>
    </row>
    <row r="107" spans="1:13" x14ac:dyDescent="0.25">
      <c r="E107" s="22"/>
      <c r="F107" s="22"/>
      <c r="G107" s="22"/>
      <c r="H107" s="22"/>
      <c r="I107" s="22"/>
      <c r="J107" s="22"/>
      <c r="K107" s="22"/>
      <c r="L107" s="22"/>
    </row>
    <row r="108" spans="1:13" x14ac:dyDescent="0.25">
      <c r="E108" s="22"/>
      <c r="F108" s="22"/>
      <c r="G108" s="22"/>
      <c r="H108" s="22"/>
      <c r="I108" s="22"/>
      <c r="J108" s="22"/>
      <c r="K108" s="22"/>
      <c r="L108" s="22"/>
    </row>
    <row r="109" spans="1:13" x14ac:dyDescent="0.25">
      <c r="E109" s="22"/>
      <c r="F109" s="22"/>
      <c r="G109" s="22"/>
      <c r="H109" s="22"/>
      <c r="I109" s="22"/>
      <c r="J109" s="22"/>
      <c r="K109" s="22"/>
      <c r="L109" s="22"/>
    </row>
    <row r="110" spans="1:13" x14ac:dyDescent="0.25">
      <c r="E110" s="22"/>
      <c r="F110" s="22"/>
      <c r="G110" s="22"/>
      <c r="H110" s="22"/>
      <c r="I110" s="22"/>
      <c r="J110" s="22"/>
      <c r="K110" s="22"/>
      <c r="L110" s="22"/>
    </row>
    <row r="111" spans="1:13" x14ac:dyDescent="0.25">
      <c r="E111" s="22"/>
      <c r="F111" s="22"/>
      <c r="G111" s="22"/>
      <c r="H111" s="22"/>
      <c r="I111" s="22"/>
      <c r="J111" s="22"/>
      <c r="K111" s="22"/>
      <c r="L111" s="22"/>
    </row>
    <row r="112" spans="1:13" x14ac:dyDescent="0.25">
      <c r="E112" s="22"/>
      <c r="F112" s="22"/>
      <c r="G112" s="22"/>
      <c r="H112" s="22"/>
      <c r="I112" s="22"/>
      <c r="J112" s="22"/>
      <c r="K112" s="22"/>
      <c r="L112" s="22"/>
    </row>
    <row r="113" spans="5:12" x14ac:dyDescent="0.25">
      <c r="E113" s="22"/>
      <c r="F113" s="22"/>
      <c r="G113" s="22"/>
      <c r="H113" s="22"/>
      <c r="I113" s="22"/>
      <c r="J113" s="22"/>
      <c r="K113" s="22"/>
      <c r="L113" s="22"/>
    </row>
    <row r="114" spans="5:12" x14ac:dyDescent="0.25">
      <c r="E114" s="22"/>
      <c r="F114" s="22"/>
      <c r="G114" s="22"/>
      <c r="H114" s="22"/>
      <c r="I114" s="22"/>
      <c r="J114" s="22"/>
      <c r="K114" s="22"/>
      <c r="L114" s="22"/>
    </row>
    <row r="115" spans="5:12" x14ac:dyDescent="0.25">
      <c r="E115" s="22"/>
      <c r="F115" s="22"/>
      <c r="G115" s="22"/>
      <c r="H115" s="22"/>
      <c r="I115" s="22"/>
      <c r="J115" s="22"/>
      <c r="K115" s="22"/>
      <c r="L115" s="22"/>
    </row>
    <row r="116" spans="5:12" x14ac:dyDescent="0.25">
      <c r="E116" s="22"/>
      <c r="F116" s="22"/>
      <c r="G116" s="22"/>
      <c r="H116" s="22"/>
      <c r="I116" s="22"/>
      <c r="J116" s="22"/>
      <c r="K116" s="22"/>
      <c r="L116" s="22"/>
    </row>
    <row r="117" spans="5:12" x14ac:dyDescent="0.25">
      <c r="E117" s="22"/>
      <c r="F117" s="22"/>
      <c r="G117" s="22"/>
      <c r="H117" s="22"/>
      <c r="I117" s="22"/>
      <c r="J117" s="22"/>
      <c r="K117" s="22"/>
      <c r="L117" s="22"/>
    </row>
    <row r="118" spans="5:12" x14ac:dyDescent="0.25">
      <c r="E118" s="22"/>
      <c r="F118" s="22"/>
      <c r="G118" s="22"/>
      <c r="H118" s="22"/>
      <c r="I118" s="22"/>
      <c r="J118" s="22"/>
      <c r="K118" s="22"/>
      <c r="L118" s="22"/>
    </row>
    <row r="119" spans="5:12" x14ac:dyDescent="0.25">
      <c r="F119" s="22"/>
      <c r="G119" s="22"/>
    </row>
    <row r="199" spans="27:34" x14ac:dyDescent="0.25">
      <c r="AF199" t="s">
        <v>130</v>
      </c>
      <c r="AH199">
        <v>0</v>
      </c>
    </row>
    <row r="200" spans="27:34" x14ac:dyDescent="0.25">
      <c r="AA200" t="s">
        <v>126</v>
      </c>
      <c r="AC200" t="s">
        <v>188</v>
      </c>
      <c r="AD200" t="s">
        <v>130</v>
      </c>
      <c r="AF200" t="s">
        <v>137</v>
      </c>
      <c r="AH200">
        <f>IF(AH199&lt;2,H31,IF(AH199&gt;2,H41,H36))</f>
        <v>0</v>
      </c>
    </row>
    <row r="201" spans="27:34" x14ac:dyDescent="0.25">
      <c r="AA201" t="s">
        <v>127</v>
      </c>
      <c r="AC201" t="s">
        <v>131</v>
      </c>
      <c r="AD201" t="s">
        <v>133</v>
      </c>
      <c r="AF201" t="s">
        <v>138</v>
      </c>
    </row>
    <row r="202" spans="27:34" x14ac:dyDescent="0.25">
      <c r="AA202" t="s">
        <v>128</v>
      </c>
      <c r="AC202" t="s">
        <v>132</v>
      </c>
      <c r="AD202" t="s">
        <v>134</v>
      </c>
      <c r="AF202" t="s">
        <v>139</v>
      </c>
    </row>
    <row r="203" spans="27:34" x14ac:dyDescent="0.25">
      <c r="AA203" t="s">
        <v>129</v>
      </c>
      <c r="AC203" t="s">
        <v>160</v>
      </c>
      <c r="AD203" t="s">
        <v>135</v>
      </c>
    </row>
    <row r="204" spans="27:34" x14ac:dyDescent="0.25">
      <c r="AC204" t="s">
        <v>187</v>
      </c>
    </row>
  </sheetData>
  <mergeCells count="52">
    <mergeCell ref="D51:E51"/>
    <mergeCell ref="D52:E52"/>
    <mergeCell ref="C47:E47"/>
    <mergeCell ref="D48:E48"/>
    <mergeCell ref="G48:H48"/>
    <mergeCell ref="J48:K48"/>
    <mergeCell ref="D49:E49"/>
    <mergeCell ref="D50:E50"/>
    <mergeCell ref="B36:C36"/>
    <mergeCell ref="D36:E36"/>
    <mergeCell ref="B37:C37"/>
    <mergeCell ref="B38:E38"/>
    <mergeCell ref="G39:H39"/>
    <mergeCell ref="B45:L45"/>
    <mergeCell ref="B33:E33"/>
    <mergeCell ref="B34:C34"/>
    <mergeCell ref="D34:E34"/>
    <mergeCell ref="G34:H34"/>
    <mergeCell ref="B35:C35"/>
    <mergeCell ref="D35:E35"/>
    <mergeCell ref="B29:C29"/>
    <mergeCell ref="D29:E29"/>
    <mergeCell ref="G29:H29"/>
    <mergeCell ref="B30:C30"/>
    <mergeCell ref="D30:E30"/>
    <mergeCell ref="B31:C31"/>
    <mergeCell ref="D31:E31"/>
    <mergeCell ref="C23:D23"/>
    <mergeCell ref="B26:L26"/>
    <mergeCell ref="B28:C28"/>
    <mergeCell ref="D28:E28"/>
    <mergeCell ref="G28:H28"/>
    <mergeCell ref="J28:L28"/>
    <mergeCell ref="B17:L17"/>
    <mergeCell ref="C19:D19"/>
    <mergeCell ref="J19:K19"/>
    <mergeCell ref="C20:D20"/>
    <mergeCell ref="C21:D21"/>
    <mergeCell ref="C22:D22"/>
    <mergeCell ref="B13:C13"/>
    <mergeCell ref="D13:E13"/>
    <mergeCell ref="K13:L13"/>
    <mergeCell ref="B14:C14"/>
    <mergeCell ref="D14:E14"/>
    <mergeCell ref="K14:L14"/>
    <mergeCell ref="B2:L6"/>
    <mergeCell ref="B11:C11"/>
    <mergeCell ref="D11:E11"/>
    <mergeCell ref="K11:L11"/>
    <mergeCell ref="B12:C12"/>
    <mergeCell ref="D12:E12"/>
    <mergeCell ref="K12:L12"/>
  </mergeCells>
  <conditionalFormatting sqref="G29">
    <cfRule type="expression" dxfId="2" priority="3">
      <formula>$AH$199=1</formula>
    </cfRule>
  </conditionalFormatting>
  <conditionalFormatting sqref="G39">
    <cfRule type="expression" dxfId="1" priority="1">
      <formula>$AH$199=3</formula>
    </cfRule>
  </conditionalFormatting>
  <conditionalFormatting sqref="G34">
    <cfRule type="expression" dxfId="0" priority="2">
      <formula>$AH$199=2</formula>
    </cfRule>
  </conditionalFormatting>
  <dataValidations count="5">
    <dataValidation type="list" allowBlank="1" showInputMessage="1" showErrorMessage="1" sqref="K13:L13" xr:uid="{627B2B7E-7A75-4908-BAB4-26172DDFFB0F}">
      <formula1>$AC$199:$AC$205</formula1>
    </dataValidation>
    <dataValidation type="list" allowBlank="1" showInputMessage="1" showErrorMessage="1" sqref="D48:E48" xr:uid="{4ED15593-E929-4687-8CB3-C131C172112B}">
      <formula1>$AF$199:$AF$203</formula1>
    </dataValidation>
    <dataValidation type="list" allowBlank="1" showInputMessage="1" showErrorMessage="1" sqref="K14:L14" xr:uid="{544BCED3-C285-4009-9776-5EC554F980B9}">
      <formula1>$AD$199:$AD$203</formula1>
    </dataValidation>
    <dataValidation type="list" allowBlank="1" showInputMessage="1" showErrorMessage="1" sqref="H23 H21" xr:uid="{3F73B0DD-9A06-4E26-AA1A-0CFD96295825}">
      <formula1>$AC$199:$AC$203</formula1>
    </dataValidation>
    <dataValidation type="list" allowBlank="1" showInputMessage="1" showErrorMessage="1" sqref="H14" xr:uid="{CD3AE783-75E4-4929-B093-619EE9AD2B55}">
      <formula1>$AA$199:$AA$209</formula1>
    </dataValidation>
  </dataValidations>
  <pageMargins left="0.25" right="0.25" top="0.75" bottom="0.75" header="0.3" footer="0.3"/>
  <pageSetup scale="5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Option Button 1">
              <controlPr defaultSize="0" autoFill="0" autoLine="0" autoPict="0">
                <anchor moveWithCells="1">
                  <from>
                    <xdr:col>6</xdr:col>
                    <xdr:colOff>28575</xdr:colOff>
                    <xdr:row>27</xdr:row>
                    <xdr:rowOff>190500</xdr:rowOff>
                  </from>
                  <to>
                    <xdr:col>6</xdr:col>
                    <xdr:colOff>295275</xdr:colOff>
                    <xdr:row>29</xdr:row>
                    <xdr:rowOff>0</xdr:rowOff>
                  </to>
                </anchor>
              </controlPr>
            </control>
          </mc:Choice>
        </mc:AlternateContent>
        <mc:AlternateContent xmlns:mc="http://schemas.openxmlformats.org/markup-compatibility/2006">
          <mc:Choice Requires="x14">
            <control shapeId="75778" r:id="rId5" name="Option Button 2">
              <controlPr defaultSize="0" autoFill="0" autoLine="0" autoPict="0">
                <anchor moveWithCells="1">
                  <from>
                    <xdr:col>6</xdr:col>
                    <xdr:colOff>19050</xdr:colOff>
                    <xdr:row>32</xdr:row>
                    <xdr:rowOff>200025</xdr:rowOff>
                  </from>
                  <to>
                    <xdr:col>6</xdr:col>
                    <xdr:colOff>276225</xdr:colOff>
                    <xdr:row>34</xdr:row>
                    <xdr:rowOff>0</xdr:rowOff>
                  </to>
                </anchor>
              </controlPr>
            </control>
          </mc:Choice>
        </mc:AlternateContent>
        <mc:AlternateContent xmlns:mc="http://schemas.openxmlformats.org/markup-compatibility/2006">
          <mc:Choice Requires="x14">
            <control shapeId="75779" r:id="rId6" name="Option Button 3">
              <controlPr defaultSize="0" autoFill="0" autoLine="0" autoPict="0">
                <anchor moveWithCells="1">
                  <from>
                    <xdr:col>6</xdr:col>
                    <xdr:colOff>28575</xdr:colOff>
                    <xdr:row>38</xdr:row>
                    <xdr:rowOff>0</xdr:rowOff>
                  </from>
                  <to>
                    <xdr:col>6</xdr:col>
                    <xdr:colOff>257175</xdr:colOff>
                    <xdr:row>39</xdr:row>
                    <xdr:rowOff>9525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0" tint="-0.499984740745262"/>
    <pageSetUpPr fitToPage="1"/>
  </sheetPr>
  <dimension ref="A1:Z428"/>
  <sheetViews>
    <sheetView zoomScaleNormal="100" zoomScaleSheetLayoutView="100" workbookViewId="0">
      <selection activeCell="B12" sqref="B12"/>
    </sheetView>
  </sheetViews>
  <sheetFormatPr defaultColWidth="9.140625" defaultRowHeight="12.75" x14ac:dyDescent="0.2"/>
  <cols>
    <col min="1" max="1" width="8.7109375" style="3" customWidth="1"/>
    <col min="2" max="2" width="13.28515625" style="3" customWidth="1"/>
    <col min="3" max="3" width="23.5703125" style="3" customWidth="1"/>
    <col min="4" max="4" width="8.85546875" style="3" customWidth="1"/>
    <col min="5" max="5" width="13.140625" style="3" customWidth="1"/>
    <col min="6" max="6" width="8.42578125" style="3" customWidth="1"/>
    <col min="7" max="7" width="8.5703125" style="3" customWidth="1"/>
    <col min="8" max="8" width="13" style="3" customWidth="1"/>
    <col min="9" max="9" width="2" style="3" customWidth="1"/>
    <col min="10" max="10" width="13.28515625" style="3" customWidth="1"/>
    <col min="11" max="11" width="8.5703125" style="3" customWidth="1"/>
    <col min="12" max="12" width="10.7109375" style="3" customWidth="1"/>
    <col min="13" max="13" width="8.7109375" style="3" customWidth="1"/>
    <col min="14" max="20" width="9.140625" style="3"/>
    <col min="21" max="21" width="16.140625" style="3" customWidth="1"/>
    <col min="22" max="22" width="13.85546875" style="3" customWidth="1"/>
    <col min="23" max="23" width="9.140625" style="3"/>
    <col min="24" max="24" width="15.42578125" style="3" customWidth="1"/>
    <col min="25" max="16384" width="9.140625" style="3"/>
  </cols>
  <sheetData>
    <row r="1" spans="1:13" ht="15" customHeight="1" thickTop="1" thickBot="1" x14ac:dyDescent="0.25">
      <c r="A1" s="24"/>
      <c r="B1" s="25"/>
      <c r="C1" s="25"/>
      <c r="D1" s="25"/>
      <c r="E1" s="26"/>
      <c r="F1" s="27"/>
      <c r="G1" s="27"/>
      <c r="H1" s="27"/>
      <c r="I1" s="27"/>
      <c r="J1" s="25"/>
      <c r="K1" s="25"/>
      <c r="L1" s="28"/>
      <c r="M1" s="29"/>
    </row>
    <row r="2" spans="1:13" x14ac:dyDescent="0.2">
      <c r="A2" s="30"/>
      <c r="B2" s="493" t="s">
        <v>182</v>
      </c>
      <c r="C2" s="494"/>
      <c r="D2" s="494"/>
      <c r="E2" s="494"/>
      <c r="F2" s="494"/>
      <c r="G2" s="494"/>
      <c r="H2" s="494"/>
      <c r="I2" s="494"/>
      <c r="J2" s="494"/>
      <c r="K2" s="494"/>
      <c r="L2" s="495"/>
      <c r="M2" s="34"/>
    </row>
    <row r="3" spans="1:13" x14ac:dyDescent="0.2">
      <c r="A3" s="30"/>
      <c r="B3" s="496"/>
      <c r="C3" s="497"/>
      <c r="D3" s="497"/>
      <c r="E3" s="497"/>
      <c r="F3" s="497"/>
      <c r="G3" s="497"/>
      <c r="H3" s="497"/>
      <c r="I3" s="497"/>
      <c r="J3" s="497"/>
      <c r="K3" s="497"/>
      <c r="L3" s="498"/>
      <c r="M3" s="34"/>
    </row>
    <row r="4" spans="1:13" x14ac:dyDescent="0.2">
      <c r="A4" s="30"/>
      <c r="B4" s="496"/>
      <c r="C4" s="497"/>
      <c r="D4" s="497"/>
      <c r="E4" s="497"/>
      <c r="F4" s="497"/>
      <c r="G4" s="497"/>
      <c r="H4" s="497"/>
      <c r="I4" s="497"/>
      <c r="J4" s="497"/>
      <c r="K4" s="497"/>
      <c r="L4" s="498"/>
      <c r="M4" s="34"/>
    </row>
    <row r="5" spans="1:13" ht="13.7" customHeight="1" x14ac:dyDescent="0.2">
      <c r="A5" s="30"/>
      <c r="B5" s="496"/>
      <c r="C5" s="497"/>
      <c r="D5" s="497"/>
      <c r="E5" s="497"/>
      <c r="F5" s="497"/>
      <c r="G5" s="497"/>
      <c r="H5" s="497"/>
      <c r="I5" s="497"/>
      <c r="J5" s="497"/>
      <c r="K5" s="497"/>
      <c r="L5" s="498"/>
      <c r="M5" s="34"/>
    </row>
    <row r="6" spans="1:13" ht="13.7" customHeight="1" thickBot="1" x14ac:dyDescent="0.25">
      <c r="A6" s="31"/>
      <c r="B6" s="499"/>
      <c r="C6" s="500"/>
      <c r="D6" s="500"/>
      <c r="E6" s="500"/>
      <c r="F6" s="500"/>
      <c r="G6" s="500"/>
      <c r="H6" s="500"/>
      <c r="I6" s="500"/>
      <c r="J6" s="500"/>
      <c r="K6" s="500"/>
      <c r="L6" s="501"/>
      <c r="M6" s="34"/>
    </row>
    <row r="7" spans="1:13" ht="13.7" customHeight="1" x14ac:dyDescent="0.2">
      <c r="A7" s="32"/>
      <c r="B7" s="33"/>
      <c r="C7" s="33"/>
      <c r="D7" s="33"/>
      <c r="E7" s="33"/>
      <c r="F7" s="33"/>
      <c r="G7" s="33"/>
      <c r="H7" s="33"/>
      <c r="I7" s="33"/>
      <c r="J7" s="33"/>
      <c r="K7" s="33"/>
      <c r="L7" s="33"/>
      <c r="M7" s="34"/>
    </row>
    <row r="8" spans="1:13" s="7" customFormat="1" ht="13.7" customHeight="1" thickBot="1" x14ac:dyDescent="0.25">
      <c r="A8" s="32"/>
      <c r="B8" s="33"/>
      <c r="C8" s="33"/>
      <c r="D8" s="33"/>
      <c r="E8" s="33"/>
      <c r="F8" s="33"/>
      <c r="G8" s="33"/>
      <c r="H8" s="33"/>
      <c r="I8" s="33"/>
      <c r="J8" s="33"/>
      <c r="K8" s="33"/>
      <c r="L8" s="33"/>
      <c r="M8" s="34"/>
    </row>
    <row r="9" spans="1:13" s="7" customFormat="1" ht="16.5" customHeight="1" thickBot="1" x14ac:dyDescent="0.25">
      <c r="A9" s="32"/>
      <c r="B9" s="502" t="s">
        <v>110</v>
      </c>
      <c r="C9" s="503"/>
      <c r="D9" s="503"/>
      <c r="E9" s="503"/>
      <c r="F9" s="503"/>
      <c r="G9" s="503"/>
      <c r="H9" s="503"/>
      <c r="I9" s="503"/>
      <c r="J9" s="503"/>
      <c r="K9" s="503"/>
      <c r="L9" s="504"/>
      <c r="M9" s="34"/>
    </row>
    <row r="10" spans="1:13" s="7" customFormat="1" ht="16.5" customHeight="1" thickBot="1" x14ac:dyDescent="0.25">
      <c r="A10" s="32"/>
      <c r="B10" s="63" t="s">
        <v>10</v>
      </c>
      <c r="C10" s="502" t="s">
        <v>83</v>
      </c>
      <c r="D10" s="503"/>
      <c r="E10" s="503"/>
      <c r="F10" s="503"/>
      <c r="G10" s="503"/>
      <c r="H10" s="503"/>
      <c r="I10" s="503"/>
      <c r="J10" s="503"/>
      <c r="K10" s="503"/>
      <c r="L10" s="504"/>
      <c r="M10" s="34"/>
    </row>
    <row r="11" spans="1:13" s="7" customFormat="1" ht="16.5" customHeight="1" x14ac:dyDescent="0.2">
      <c r="A11" s="32"/>
      <c r="B11" s="122">
        <v>43250</v>
      </c>
      <c r="C11" s="592" t="s">
        <v>198</v>
      </c>
      <c r="D11" s="593"/>
      <c r="E11" s="593"/>
      <c r="F11" s="593"/>
      <c r="G11" s="593"/>
      <c r="H11" s="593"/>
      <c r="I11" s="593"/>
      <c r="J11" s="593"/>
      <c r="K11" s="593"/>
      <c r="L11" s="594"/>
      <c r="M11" s="34"/>
    </row>
    <row r="12" spans="1:13" s="7" customFormat="1" ht="20.25" x14ac:dyDescent="0.2">
      <c r="A12" s="32"/>
      <c r="B12" s="124"/>
      <c r="C12" s="586"/>
      <c r="D12" s="587"/>
      <c r="E12" s="587"/>
      <c r="F12" s="587"/>
      <c r="G12" s="587"/>
      <c r="H12" s="587"/>
      <c r="I12" s="587"/>
      <c r="J12" s="587"/>
      <c r="K12" s="587"/>
      <c r="L12" s="588"/>
      <c r="M12" s="34"/>
    </row>
    <row r="13" spans="1:13" s="7" customFormat="1" ht="17.45" customHeight="1" x14ac:dyDescent="0.2">
      <c r="A13" s="32"/>
      <c r="B13" s="124"/>
      <c r="C13" s="586"/>
      <c r="D13" s="587"/>
      <c r="E13" s="587"/>
      <c r="F13" s="587"/>
      <c r="G13" s="587"/>
      <c r="H13" s="587"/>
      <c r="I13" s="587"/>
      <c r="J13" s="587"/>
      <c r="K13" s="587"/>
      <c r="L13" s="588"/>
      <c r="M13" s="34"/>
    </row>
    <row r="14" spans="1:13" s="7" customFormat="1" ht="16.5" customHeight="1" x14ac:dyDescent="0.2">
      <c r="A14" s="32"/>
      <c r="B14" s="124"/>
      <c r="C14" s="586"/>
      <c r="D14" s="587"/>
      <c r="E14" s="587"/>
      <c r="F14" s="587"/>
      <c r="G14" s="587"/>
      <c r="H14" s="587"/>
      <c r="I14" s="587"/>
      <c r="J14" s="587"/>
      <c r="K14" s="587"/>
      <c r="L14" s="588"/>
      <c r="M14" s="34"/>
    </row>
    <row r="15" spans="1:13" s="7" customFormat="1" ht="20.25" x14ac:dyDescent="0.2">
      <c r="A15" s="32"/>
      <c r="B15" s="124"/>
      <c r="C15" s="586"/>
      <c r="D15" s="587"/>
      <c r="E15" s="587"/>
      <c r="F15" s="587"/>
      <c r="G15" s="587"/>
      <c r="H15" s="587"/>
      <c r="I15" s="587"/>
      <c r="J15" s="587"/>
      <c r="K15" s="587"/>
      <c r="L15" s="588"/>
      <c r="M15" s="34"/>
    </row>
    <row r="16" spans="1:13" s="8" customFormat="1" ht="16.5" customHeight="1" x14ac:dyDescent="0.2">
      <c r="A16" s="32"/>
      <c r="B16" s="124"/>
      <c r="C16" s="586"/>
      <c r="D16" s="587"/>
      <c r="E16" s="587"/>
      <c r="F16" s="587"/>
      <c r="G16" s="587"/>
      <c r="H16" s="587"/>
      <c r="I16" s="587"/>
      <c r="J16" s="587"/>
      <c r="K16" s="587"/>
      <c r="L16" s="588"/>
      <c r="M16" s="34"/>
    </row>
    <row r="17" spans="1:13" s="7" customFormat="1" ht="18.75" customHeight="1" x14ac:dyDescent="0.2">
      <c r="A17" s="32"/>
      <c r="B17" s="124"/>
      <c r="C17" s="586"/>
      <c r="D17" s="587"/>
      <c r="E17" s="587"/>
      <c r="F17" s="587"/>
      <c r="G17" s="587"/>
      <c r="H17" s="587"/>
      <c r="I17" s="587"/>
      <c r="J17" s="587"/>
      <c r="K17" s="587"/>
      <c r="L17" s="588"/>
      <c r="M17" s="34"/>
    </row>
    <row r="18" spans="1:13" s="7" customFormat="1" ht="20.25" x14ac:dyDescent="0.2">
      <c r="A18" s="32"/>
      <c r="B18" s="124"/>
      <c r="C18" s="586"/>
      <c r="D18" s="587"/>
      <c r="E18" s="587"/>
      <c r="F18" s="587"/>
      <c r="G18" s="587"/>
      <c r="H18" s="587"/>
      <c r="I18" s="587"/>
      <c r="J18" s="587"/>
      <c r="K18" s="587"/>
      <c r="L18" s="588"/>
      <c r="M18" s="34"/>
    </row>
    <row r="19" spans="1:13" s="7" customFormat="1" ht="20.25" x14ac:dyDescent="0.2">
      <c r="A19" s="32"/>
      <c r="B19" s="124"/>
      <c r="C19" s="586"/>
      <c r="D19" s="587"/>
      <c r="E19" s="587"/>
      <c r="F19" s="587"/>
      <c r="G19" s="587"/>
      <c r="H19" s="587"/>
      <c r="I19" s="587"/>
      <c r="J19" s="587"/>
      <c r="K19" s="587"/>
      <c r="L19" s="588"/>
      <c r="M19" s="34"/>
    </row>
    <row r="20" spans="1:13" s="7" customFormat="1" ht="18.75" customHeight="1" x14ac:dyDescent="0.2">
      <c r="A20" s="32"/>
      <c r="B20" s="124"/>
      <c r="C20" s="586"/>
      <c r="D20" s="587"/>
      <c r="E20" s="587"/>
      <c r="F20" s="587"/>
      <c r="G20" s="587"/>
      <c r="H20" s="587"/>
      <c r="I20" s="587"/>
      <c r="J20" s="587"/>
      <c r="K20" s="587"/>
      <c r="L20" s="588"/>
      <c r="M20" s="34"/>
    </row>
    <row r="21" spans="1:13" s="7" customFormat="1" ht="20.25" x14ac:dyDescent="0.2">
      <c r="A21" s="32"/>
      <c r="B21" s="124"/>
      <c r="C21" s="586"/>
      <c r="D21" s="587"/>
      <c r="E21" s="587"/>
      <c r="F21" s="587"/>
      <c r="G21" s="587"/>
      <c r="H21" s="587"/>
      <c r="I21" s="587"/>
      <c r="J21" s="587"/>
      <c r="K21" s="587"/>
      <c r="L21" s="588"/>
      <c r="M21" s="34"/>
    </row>
    <row r="22" spans="1:13" s="7" customFormat="1" ht="20.25" x14ac:dyDescent="0.2">
      <c r="A22" s="32"/>
      <c r="B22" s="124"/>
      <c r="C22" s="586"/>
      <c r="D22" s="587"/>
      <c r="E22" s="587"/>
      <c r="F22" s="587"/>
      <c r="G22" s="587"/>
      <c r="H22" s="587"/>
      <c r="I22" s="587"/>
      <c r="J22" s="587"/>
      <c r="K22" s="587"/>
      <c r="L22" s="588"/>
      <c r="M22" s="34"/>
    </row>
    <row r="23" spans="1:13" s="7" customFormat="1" ht="20.25" x14ac:dyDescent="0.2">
      <c r="A23" s="32"/>
      <c r="B23" s="124"/>
      <c r="C23" s="586"/>
      <c r="D23" s="587"/>
      <c r="E23" s="587"/>
      <c r="F23" s="587"/>
      <c r="G23" s="587"/>
      <c r="H23" s="587"/>
      <c r="I23" s="587"/>
      <c r="J23" s="587"/>
      <c r="K23" s="587"/>
      <c r="L23" s="588"/>
      <c r="M23" s="34"/>
    </row>
    <row r="24" spans="1:13" s="7" customFormat="1" ht="20.25" x14ac:dyDescent="0.2">
      <c r="A24" s="32"/>
      <c r="B24" s="124"/>
      <c r="C24" s="586"/>
      <c r="D24" s="587"/>
      <c r="E24" s="587"/>
      <c r="F24" s="587"/>
      <c r="G24" s="587"/>
      <c r="H24" s="587"/>
      <c r="I24" s="587"/>
      <c r="J24" s="587"/>
      <c r="K24" s="587"/>
      <c r="L24" s="588"/>
      <c r="M24" s="34"/>
    </row>
    <row r="25" spans="1:13" s="7" customFormat="1" ht="20.25" x14ac:dyDescent="0.2">
      <c r="A25" s="32"/>
      <c r="B25" s="124"/>
      <c r="C25" s="586"/>
      <c r="D25" s="587"/>
      <c r="E25" s="587"/>
      <c r="F25" s="587"/>
      <c r="G25" s="587"/>
      <c r="H25" s="587"/>
      <c r="I25" s="587"/>
      <c r="J25" s="587"/>
      <c r="K25" s="587"/>
      <c r="L25" s="588"/>
      <c r="M25" s="34"/>
    </row>
    <row r="26" spans="1:13" s="7" customFormat="1" ht="20.25" x14ac:dyDescent="0.2">
      <c r="A26" s="32"/>
      <c r="B26" s="124"/>
      <c r="C26" s="586"/>
      <c r="D26" s="587"/>
      <c r="E26" s="587"/>
      <c r="F26" s="587"/>
      <c r="G26" s="587"/>
      <c r="H26" s="587"/>
      <c r="I26" s="587"/>
      <c r="J26" s="587"/>
      <c r="K26" s="587"/>
      <c r="L26" s="588"/>
      <c r="M26" s="34"/>
    </row>
    <row r="27" spans="1:13" s="7" customFormat="1" ht="20.25" x14ac:dyDescent="0.2">
      <c r="A27" s="32"/>
      <c r="B27" s="124"/>
      <c r="C27" s="586"/>
      <c r="D27" s="587"/>
      <c r="E27" s="587"/>
      <c r="F27" s="587"/>
      <c r="G27" s="587"/>
      <c r="H27" s="587"/>
      <c r="I27" s="587"/>
      <c r="J27" s="587"/>
      <c r="K27" s="587"/>
      <c r="L27" s="588"/>
      <c r="M27" s="34"/>
    </row>
    <row r="28" spans="1:13" s="7" customFormat="1" ht="20.25" x14ac:dyDescent="0.2">
      <c r="A28" s="32"/>
      <c r="B28" s="124"/>
      <c r="C28" s="586"/>
      <c r="D28" s="587"/>
      <c r="E28" s="587"/>
      <c r="F28" s="587"/>
      <c r="G28" s="587"/>
      <c r="H28" s="587"/>
      <c r="I28" s="587"/>
      <c r="J28" s="587"/>
      <c r="K28" s="587"/>
      <c r="L28" s="588"/>
      <c r="M28" s="34"/>
    </row>
    <row r="29" spans="1:13" s="7" customFormat="1" ht="20.25" x14ac:dyDescent="0.2">
      <c r="A29" s="32"/>
      <c r="B29" s="124"/>
      <c r="C29" s="586"/>
      <c r="D29" s="587"/>
      <c r="E29" s="587"/>
      <c r="F29" s="587"/>
      <c r="G29" s="587"/>
      <c r="H29" s="587"/>
      <c r="I29" s="587"/>
      <c r="J29" s="587"/>
      <c r="K29" s="587"/>
      <c r="L29" s="588"/>
      <c r="M29" s="34"/>
    </row>
    <row r="30" spans="1:13" s="7" customFormat="1" ht="20.25" x14ac:dyDescent="0.2">
      <c r="A30" s="32"/>
      <c r="B30" s="124"/>
      <c r="C30" s="586"/>
      <c r="D30" s="587"/>
      <c r="E30" s="587"/>
      <c r="F30" s="587"/>
      <c r="G30" s="587"/>
      <c r="H30" s="587"/>
      <c r="I30" s="587"/>
      <c r="J30" s="587"/>
      <c r="K30" s="587"/>
      <c r="L30" s="588"/>
      <c r="M30" s="34"/>
    </row>
    <row r="31" spans="1:13" s="7" customFormat="1" ht="20.25" x14ac:dyDescent="0.2">
      <c r="A31" s="32"/>
      <c r="B31" s="124"/>
      <c r="C31" s="586"/>
      <c r="D31" s="587"/>
      <c r="E31" s="587"/>
      <c r="F31" s="587"/>
      <c r="G31" s="587"/>
      <c r="H31" s="587"/>
      <c r="I31" s="587"/>
      <c r="J31" s="587"/>
      <c r="K31" s="587"/>
      <c r="L31" s="588"/>
      <c r="M31" s="34"/>
    </row>
    <row r="32" spans="1:13" s="7" customFormat="1" ht="20.25" x14ac:dyDescent="0.2">
      <c r="A32" s="32"/>
      <c r="B32" s="124"/>
      <c r="C32" s="586"/>
      <c r="D32" s="587"/>
      <c r="E32" s="587"/>
      <c r="F32" s="587"/>
      <c r="G32" s="587"/>
      <c r="H32" s="587"/>
      <c r="I32" s="587"/>
      <c r="J32" s="587"/>
      <c r="K32" s="587"/>
      <c r="L32" s="588"/>
      <c r="M32" s="34"/>
    </row>
    <row r="33" spans="1:26" s="7" customFormat="1" ht="20.25" x14ac:dyDescent="0.2">
      <c r="A33" s="32"/>
      <c r="B33" s="124"/>
      <c r="C33" s="586"/>
      <c r="D33" s="587"/>
      <c r="E33" s="587"/>
      <c r="F33" s="587"/>
      <c r="G33" s="587"/>
      <c r="H33" s="587"/>
      <c r="I33" s="587"/>
      <c r="J33" s="587"/>
      <c r="K33" s="587"/>
      <c r="L33" s="588"/>
      <c r="M33" s="34"/>
    </row>
    <row r="34" spans="1:26" s="7" customFormat="1" ht="20.25" x14ac:dyDescent="0.2">
      <c r="A34" s="32"/>
      <c r="B34" s="124"/>
      <c r="C34" s="586"/>
      <c r="D34" s="587"/>
      <c r="E34" s="587"/>
      <c r="F34" s="587"/>
      <c r="G34" s="587"/>
      <c r="H34" s="587"/>
      <c r="I34" s="587"/>
      <c r="J34" s="587"/>
      <c r="K34" s="587"/>
      <c r="L34" s="588"/>
      <c r="M34" s="34"/>
    </row>
    <row r="35" spans="1:26" s="7" customFormat="1" ht="20.25" x14ac:dyDescent="0.2">
      <c r="A35" s="32"/>
      <c r="B35" s="124"/>
      <c r="C35" s="586"/>
      <c r="D35" s="587"/>
      <c r="E35" s="587"/>
      <c r="F35" s="587"/>
      <c r="G35" s="587"/>
      <c r="H35" s="587"/>
      <c r="I35" s="587"/>
      <c r="J35" s="587"/>
      <c r="K35" s="587"/>
      <c r="L35" s="588"/>
      <c r="M35" s="34"/>
    </row>
    <row r="36" spans="1:26" s="7" customFormat="1" ht="20.25" x14ac:dyDescent="0.25">
      <c r="A36" s="32"/>
      <c r="B36" s="124"/>
      <c r="C36" s="586"/>
      <c r="D36" s="587"/>
      <c r="E36" s="587"/>
      <c r="F36" s="587"/>
      <c r="G36" s="587"/>
      <c r="H36" s="587"/>
      <c r="I36" s="587"/>
      <c r="J36" s="587"/>
      <c r="K36" s="587"/>
      <c r="L36" s="588"/>
      <c r="M36" s="34"/>
      <c r="N36" s="14"/>
      <c r="U36" s="9"/>
      <c r="X36" s="9"/>
      <c r="Z36" s="9"/>
    </row>
    <row r="37" spans="1:26" s="7" customFormat="1" ht="20.25" x14ac:dyDescent="0.25">
      <c r="A37" s="32"/>
      <c r="B37" s="124"/>
      <c r="C37" s="586"/>
      <c r="D37" s="587"/>
      <c r="E37" s="587"/>
      <c r="F37" s="587"/>
      <c r="G37" s="587"/>
      <c r="H37" s="587"/>
      <c r="I37" s="587"/>
      <c r="J37" s="587"/>
      <c r="K37" s="587"/>
      <c r="L37" s="588"/>
      <c r="M37" s="34"/>
      <c r="U37" s="9"/>
      <c r="X37" s="9"/>
      <c r="Z37" s="9"/>
    </row>
    <row r="38" spans="1:26" s="7" customFormat="1" ht="20.25" x14ac:dyDescent="0.2">
      <c r="A38" s="32"/>
      <c r="B38" s="124"/>
      <c r="C38" s="586"/>
      <c r="D38" s="587"/>
      <c r="E38" s="587"/>
      <c r="F38" s="587"/>
      <c r="G38" s="587"/>
      <c r="H38" s="587"/>
      <c r="I38" s="587"/>
      <c r="J38" s="587"/>
      <c r="K38" s="587"/>
      <c r="L38" s="588"/>
      <c r="M38" s="34"/>
      <c r="U38" s="10"/>
      <c r="V38" s="10"/>
      <c r="X38" s="13"/>
    </row>
    <row r="39" spans="1:26" s="7" customFormat="1" ht="20.25" x14ac:dyDescent="0.2">
      <c r="A39" s="32"/>
      <c r="B39" s="124"/>
      <c r="C39" s="586"/>
      <c r="D39" s="587"/>
      <c r="E39" s="587"/>
      <c r="F39" s="587"/>
      <c r="G39" s="587"/>
      <c r="H39" s="587"/>
      <c r="I39" s="587"/>
      <c r="J39" s="587"/>
      <c r="K39" s="587"/>
      <c r="L39" s="588"/>
      <c r="M39" s="34"/>
      <c r="U39" s="10"/>
      <c r="X39" s="11"/>
    </row>
    <row r="40" spans="1:26" s="7" customFormat="1" ht="20.25" x14ac:dyDescent="0.2">
      <c r="A40" s="32"/>
      <c r="B40" s="124"/>
      <c r="C40" s="586"/>
      <c r="D40" s="587"/>
      <c r="E40" s="587"/>
      <c r="F40" s="587"/>
      <c r="G40" s="587"/>
      <c r="H40" s="587"/>
      <c r="I40" s="587"/>
      <c r="J40" s="587"/>
      <c r="K40" s="587"/>
      <c r="L40" s="588"/>
      <c r="M40" s="34"/>
      <c r="U40" s="10"/>
      <c r="X40" s="13"/>
    </row>
    <row r="41" spans="1:26" s="7" customFormat="1" ht="20.25" x14ac:dyDescent="0.2">
      <c r="A41" s="32"/>
      <c r="B41" s="124"/>
      <c r="C41" s="586"/>
      <c r="D41" s="587"/>
      <c r="E41" s="587"/>
      <c r="F41" s="587"/>
      <c r="G41" s="587"/>
      <c r="H41" s="587"/>
      <c r="I41" s="587"/>
      <c r="J41" s="587"/>
      <c r="K41" s="587"/>
      <c r="L41" s="588"/>
      <c r="M41" s="34"/>
      <c r="U41" s="10"/>
      <c r="V41" s="10"/>
      <c r="X41" s="13"/>
    </row>
    <row r="42" spans="1:26" s="7" customFormat="1" ht="20.25" x14ac:dyDescent="0.2">
      <c r="A42" s="32"/>
      <c r="B42" s="124"/>
      <c r="C42" s="586"/>
      <c r="D42" s="587"/>
      <c r="E42" s="587"/>
      <c r="F42" s="587"/>
      <c r="G42" s="587"/>
      <c r="H42" s="587"/>
      <c r="I42" s="587"/>
      <c r="J42" s="587"/>
      <c r="K42" s="587"/>
      <c r="L42" s="588"/>
      <c r="M42" s="34"/>
      <c r="X42" s="13"/>
    </row>
    <row r="43" spans="1:26" s="7" customFormat="1" ht="20.25" x14ac:dyDescent="0.2">
      <c r="A43" s="32"/>
      <c r="B43" s="124"/>
      <c r="C43" s="586"/>
      <c r="D43" s="587"/>
      <c r="E43" s="587"/>
      <c r="F43" s="587"/>
      <c r="G43" s="587"/>
      <c r="H43" s="587"/>
      <c r="I43" s="587"/>
      <c r="J43" s="587"/>
      <c r="K43" s="587"/>
      <c r="L43" s="588"/>
      <c r="M43" s="34"/>
      <c r="P43" s="14"/>
      <c r="U43" s="10"/>
      <c r="V43" s="10"/>
      <c r="X43" s="13"/>
    </row>
    <row r="44" spans="1:26" s="7" customFormat="1" ht="20.25" x14ac:dyDescent="0.2">
      <c r="A44" s="32"/>
      <c r="B44" s="124"/>
      <c r="C44" s="586"/>
      <c r="D44" s="587"/>
      <c r="E44" s="587"/>
      <c r="F44" s="587"/>
      <c r="G44" s="587"/>
      <c r="H44" s="587"/>
      <c r="I44" s="587"/>
      <c r="J44" s="587"/>
      <c r="K44" s="587"/>
      <c r="L44" s="588"/>
      <c r="M44" s="34"/>
      <c r="U44" s="10"/>
      <c r="V44" s="10"/>
      <c r="X44" s="13"/>
    </row>
    <row r="45" spans="1:26" s="7" customFormat="1" ht="20.25" x14ac:dyDescent="0.2">
      <c r="A45" s="32"/>
      <c r="B45" s="124"/>
      <c r="C45" s="586"/>
      <c r="D45" s="587"/>
      <c r="E45" s="587"/>
      <c r="F45" s="587"/>
      <c r="G45" s="587"/>
      <c r="H45" s="587"/>
      <c r="I45" s="587"/>
      <c r="J45" s="587"/>
      <c r="K45" s="587"/>
      <c r="L45" s="588"/>
      <c r="M45" s="34"/>
      <c r="U45" s="10"/>
      <c r="V45" s="10"/>
      <c r="X45" s="13"/>
    </row>
    <row r="46" spans="1:26" s="7" customFormat="1" ht="20.25" x14ac:dyDescent="0.2">
      <c r="A46" s="32"/>
      <c r="B46" s="124"/>
      <c r="C46" s="586"/>
      <c r="D46" s="587"/>
      <c r="E46" s="587"/>
      <c r="F46" s="587"/>
      <c r="G46" s="587"/>
      <c r="H46" s="587"/>
      <c r="I46" s="587"/>
      <c r="J46" s="587"/>
      <c r="K46" s="587"/>
      <c r="L46" s="588"/>
      <c r="M46" s="34"/>
      <c r="U46" s="10"/>
      <c r="V46" s="10"/>
      <c r="X46" s="13"/>
    </row>
    <row r="47" spans="1:26" s="7" customFormat="1" ht="20.25" x14ac:dyDescent="0.2">
      <c r="A47" s="32"/>
      <c r="B47" s="124"/>
      <c r="C47" s="586"/>
      <c r="D47" s="587"/>
      <c r="E47" s="587"/>
      <c r="F47" s="587"/>
      <c r="G47" s="587"/>
      <c r="H47" s="587"/>
      <c r="I47" s="587"/>
      <c r="J47" s="587"/>
      <c r="K47" s="587"/>
      <c r="L47" s="588"/>
      <c r="M47" s="34"/>
      <c r="U47" s="10"/>
      <c r="V47" s="10"/>
    </row>
    <row r="48" spans="1:26" s="7" customFormat="1" ht="20.25" x14ac:dyDescent="0.25">
      <c r="A48" s="32"/>
      <c r="B48" s="124"/>
      <c r="C48" s="586"/>
      <c r="D48" s="587"/>
      <c r="E48" s="587"/>
      <c r="F48" s="587"/>
      <c r="G48" s="587"/>
      <c r="H48" s="587"/>
      <c r="I48" s="587"/>
      <c r="J48" s="587"/>
      <c r="K48" s="587"/>
      <c r="L48" s="588"/>
      <c r="M48" s="34"/>
      <c r="U48" s="9"/>
    </row>
    <row r="49" spans="1:21" s="7" customFormat="1" ht="20.25" x14ac:dyDescent="0.2">
      <c r="A49" s="32"/>
      <c r="B49" s="124"/>
      <c r="C49" s="586"/>
      <c r="D49" s="587"/>
      <c r="E49" s="587"/>
      <c r="F49" s="587"/>
      <c r="G49" s="587"/>
      <c r="H49" s="587"/>
      <c r="I49" s="587"/>
      <c r="J49" s="587"/>
      <c r="K49" s="587"/>
      <c r="L49" s="588"/>
      <c r="M49" s="34"/>
    </row>
    <row r="50" spans="1:21" s="7" customFormat="1" ht="20.25" x14ac:dyDescent="0.2">
      <c r="A50" s="32"/>
      <c r="B50" s="124"/>
      <c r="C50" s="586"/>
      <c r="D50" s="587"/>
      <c r="E50" s="587"/>
      <c r="F50" s="587"/>
      <c r="G50" s="587"/>
      <c r="H50" s="587"/>
      <c r="I50" s="587"/>
      <c r="J50" s="587"/>
      <c r="K50" s="587"/>
      <c r="L50" s="588"/>
      <c r="M50" s="34"/>
    </row>
    <row r="51" spans="1:21" s="7" customFormat="1" ht="20.25" x14ac:dyDescent="0.2">
      <c r="A51" s="32"/>
      <c r="B51" s="124"/>
      <c r="C51" s="586"/>
      <c r="D51" s="587"/>
      <c r="E51" s="587"/>
      <c r="F51" s="587"/>
      <c r="G51" s="587"/>
      <c r="H51" s="587"/>
      <c r="I51" s="587"/>
      <c r="J51" s="587"/>
      <c r="K51" s="587"/>
      <c r="L51" s="588"/>
      <c r="M51" s="34"/>
    </row>
    <row r="52" spans="1:21" s="7" customFormat="1" ht="20.25" x14ac:dyDescent="0.2">
      <c r="A52" s="32"/>
      <c r="B52" s="124"/>
      <c r="C52" s="586"/>
      <c r="D52" s="587"/>
      <c r="E52" s="587"/>
      <c r="F52" s="587"/>
      <c r="G52" s="587"/>
      <c r="H52" s="587"/>
      <c r="I52" s="587"/>
      <c r="J52" s="587"/>
      <c r="K52" s="587"/>
      <c r="L52" s="588"/>
      <c r="M52" s="34"/>
    </row>
    <row r="53" spans="1:21" s="7" customFormat="1" ht="20.25" x14ac:dyDescent="0.2">
      <c r="A53" s="32"/>
      <c r="B53" s="124"/>
      <c r="C53" s="586"/>
      <c r="D53" s="587"/>
      <c r="E53" s="587"/>
      <c r="F53" s="587"/>
      <c r="G53" s="587"/>
      <c r="H53" s="587"/>
      <c r="I53" s="587"/>
      <c r="J53" s="587"/>
      <c r="K53" s="587"/>
      <c r="L53" s="588"/>
      <c r="M53" s="34"/>
      <c r="N53" s="12"/>
    </row>
    <row r="54" spans="1:21" s="7" customFormat="1" ht="20.25" x14ac:dyDescent="0.2">
      <c r="A54" s="32"/>
      <c r="B54" s="124"/>
      <c r="C54" s="586"/>
      <c r="D54" s="587"/>
      <c r="E54" s="587"/>
      <c r="F54" s="587"/>
      <c r="G54" s="587"/>
      <c r="H54" s="587"/>
      <c r="I54" s="587"/>
      <c r="J54" s="587"/>
      <c r="K54" s="587"/>
      <c r="L54" s="588"/>
      <c r="M54" s="34"/>
      <c r="N54" s="12"/>
    </row>
    <row r="55" spans="1:21" s="7" customFormat="1" ht="20.25" x14ac:dyDescent="0.2">
      <c r="A55" s="32"/>
      <c r="B55" s="124"/>
      <c r="C55" s="586"/>
      <c r="D55" s="587"/>
      <c r="E55" s="587"/>
      <c r="F55" s="587"/>
      <c r="G55" s="587"/>
      <c r="H55" s="587"/>
      <c r="I55" s="587"/>
      <c r="J55" s="587"/>
      <c r="K55" s="587"/>
      <c r="L55" s="588"/>
      <c r="M55" s="34"/>
    </row>
    <row r="56" spans="1:21" s="7" customFormat="1" ht="20.25" x14ac:dyDescent="0.2">
      <c r="A56" s="32"/>
      <c r="B56" s="124"/>
      <c r="C56" s="586"/>
      <c r="D56" s="587"/>
      <c r="E56" s="587"/>
      <c r="F56" s="587"/>
      <c r="G56" s="587"/>
      <c r="H56" s="587"/>
      <c r="I56" s="587"/>
      <c r="J56" s="587"/>
      <c r="K56" s="587"/>
      <c r="L56" s="588"/>
      <c r="M56" s="34"/>
    </row>
    <row r="57" spans="1:21" s="7" customFormat="1" ht="20.25" x14ac:dyDescent="0.2">
      <c r="A57" s="32"/>
      <c r="B57" s="124"/>
      <c r="C57" s="586"/>
      <c r="D57" s="587"/>
      <c r="E57" s="587"/>
      <c r="F57" s="587"/>
      <c r="G57" s="587"/>
      <c r="H57" s="587"/>
      <c r="I57" s="587"/>
      <c r="J57" s="587"/>
      <c r="K57" s="587"/>
      <c r="L57" s="588"/>
      <c r="M57" s="34"/>
    </row>
    <row r="58" spans="1:21" s="7" customFormat="1" ht="20.25" x14ac:dyDescent="0.2">
      <c r="A58" s="32"/>
      <c r="B58" s="124"/>
      <c r="C58" s="586"/>
      <c r="D58" s="587"/>
      <c r="E58" s="587"/>
      <c r="F58" s="587"/>
      <c r="G58" s="587"/>
      <c r="H58" s="587"/>
      <c r="I58" s="587"/>
      <c r="J58" s="587"/>
      <c r="K58" s="587"/>
      <c r="L58" s="588"/>
      <c r="M58" s="34"/>
    </row>
    <row r="59" spans="1:21" s="7" customFormat="1" ht="20.25" x14ac:dyDescent="0.2">
      <c r="A59" s="32"/>
      <c r="B59" s="124"/>
      <c r="C59" s="586"/>
      <c r="D59" s="587"/>
      <c r="E59" s="587"/>
      <c r="F59" s="587"/>
      <c r="G59" s="587"/>
      <c r="H59" s="587"/>
      <c r="I59" s="587"/>
      <c r="J59" s="587"/>
      <c r="K59" s="587"/>
      <c r="L59" s="588"/>
      <c r="M59" s="34"/>
    </row>
    <row r="60" spans="1:21" s="7" customFormat="1" ht="21" thickBot="1" x14ac:dyDescent="0.25">
      <c r="A60" s="32"/>
      <c r="B60" s="126"/>
      <c r="C60" s="589"/>
      <c r="D60" s="590"/>
      <c r="E60" s="590"/>
      <c r="F60" s="590"/>
      <c r="G60" s="590"/>
      <c r="H60" s="590"/>
      <c r="I60" s="590"/>
      <c r="J60" s="590"/>
      <c r="K60" s="590"/>
      <c r="L60" s="591"/>
      <c r="M60" s="34"/>
    </row>
    <row r="61" spans="1:21" s="7" customFormat="1" ht="21" thickBot="1" x14ac:dyDescent="0.3">
      <c r="A61" s="32"/>
      <c r="B61" s="33"/>
      <c r="C61" s="33"/>
      <c r="D61" s="33"/>
      <c r="E61" s="33"/>
      <c r="F61" s="33"/>
      <c r="G61" s="33"/>
      <c r="H61" s="33"/>
      <c r="I61" s="33"/>
      <c r="J61" s="33"/>
      <c r="K61" s="33"/>
      <c r="L61" s="33"/>
      <c r="M61" s="34"/>
      <c r="U61" s="9"/>
    </row>
    <row r="62" spans="1:21" s="7" customFormat="1" ht="24.75" thickTop="1" thickBot="1" x14ac:dyDescent="0.25">
      <c r="A62" s="24"/>
      <c r="B62" s="25"/>
      <c r="C62" s="25"/>
      <c r="D62" s="25"/>
      <c r="E62" s="26"/>
      <c r="F62" s="27"/>
      <c r="G62" s="27"/>
      <c r="H62" s="27"/>
      <c r="I62" s="27"/>
      <c r="J62" s="25"/>
      <c r="K62" s="25"/>
      <c r="L62" s="28"/>
      <c r="M62" s="29"/>
    </row>
    <row r="63" spans="1:21" s="7" customFormat="1" ht="15" customHeight="1" x14ac:dyDescent="0.2">
      <c r="A63" s="30"/>
      <c r="B63" s="493" t="s">
        <v>109</v>
      </c>
      <c r="C63" s="494"/>
      <c r="D63" s="494"/>
      <c r="E63" s="494"/>
      <c r="F63" s="494"/>
      <c r="G63" s="494"/>
      <c r="H63" s="494"/>
      <c r="I63" s="494"/>
      <c r="J63" s="494"/>
      <c r="K63" s="494"/>
      <c r="L63" s="495"/>
      <c r="M63" s="34"/>
      <c r="N63" s="3"/>
    </row>
    <row r="64" spans="1:21" ht="12.75" customHeight="1" x14ac:dyDescent="0.2">
      <c r="A64" s="30"/>
      <c r="B64" s="496"/>
      <c r="C64" s="497"/>
      <c r="D64" s="497"/>
      <c r="E64" s="497"/>
      <c r="F64" s="497"/>
      <c r="G64" s="497"/>
      <c r="H64" s="497"/>
      <c r="I64" s="497"/>
      <c r="J64" s="497"/>
      <c r="K64" s="497"/>
      <c r="L64" s="498"/>
      <c r="M64" s="34"/>
    </row>
    <row r="65" spans="1:13" ht="12.75" customHeight="1" x14ac:dyDescent="0.2">
      <c r="A65" s="30"/>
      <c r="B65" s="496"/>
      <c r="C65" s="497"/>
      <c r="D65" s="497"/>
      <c r="E65" s="497"/>
      <c r="F65" s="497"/>
      <c r="G65" s="497"/>
      <c r="H65" s="497"/>
      <c r="I65" s="497"/>
      <c r="J65" s="497"/>
      <c r="K65" s="497"/>
      <c r="L65" s="498"/>
      <c r="M65" s="34"/>
    </row>
    <row r="66" spans="1:13" ht="12.75" customHeight="1" x14ac:dyDescent="0.2">
      <c r="A66" s="30"/>
      <c r="B66" s="496"/>
      <c r="C66" s="497"/>
      <c r="D66" s="497"/>
      <c r="E66" s="497"/>
      <c r="F66" s="497"/>
      <c r="G66" s="497"/>
      <c r="H66" s="497"/>
      <c r="I66" s="497"/>
      <c r="J66" s="497"/>
      <c r="K66" s="497"/>
      <c r="L66" s="498"/>
      <c r="M66" s="34"/>
    </row>
    <row r="67" spans="1:13" ht="21" customHeight="1" thickBot="1" x14ac:dyDescent="0.25">
      <c r="A67" s="31"/>
      <c r="B67" s="499"/>
      <c r="C67" s="500"/>
      <c r="D67" s="500"/>
      <c r="E67" s="500"/>
      <c r="F67" s="500"/>
      <c r="G67" s="500"/>
      <c r="H67" s="500"/>
      <c r="I67" s="500"/>
      <c r="J67" s="500"/>
      <c r="K67" s="500"/>
      <c r="L67" s="501"/>
      <c r="M67" s="34"/>
    </row>
    <row r="68" spans="1:13" ht="20.25" x14ac:dyDescent="0.2">
      <c r="A68" s="32"/>
      <c r="B68" s="33"/>
      <c r="C68" s="33"/>
      <c r="D68" s="33"/>
      <c r="E68" s="33"/>
      <c r="F68" s="33"/>
      <c r="G68" s="33"/>
      <c r="H68" s="33"/>
      <c r="I68" s="33"/>
      <c r="J68" s="33"/>
      <c r="K68" s="33"/>
      <c r="L68" s="33"/>
      <c r="M68" s="34"/>
    </row>
    <row r="69" spans="1:13" ht="21" thickBot="1" x14ac:dyDescent="0.25">
      <c r="A69" s="32"/>
      <c r="B69" s="33"/>
      <c r="C69" s="33"/>
      <c r="D69" s="33"/>
      <c r="E69" s="33"/>
      <c r="F69" s="33"/>
      <c r="G69" s="33"/>
      <c r="H69" s="33"/>
      <c r="I69" s="33"/>
      <c r="J69" s="33"/>
      <c r="K69" s="33"/>
      <c r="L69" s="33"/>
      <c r="M69" s="34"/>
    </row>
    <row r="70" spans="1:13" ht="21" thickBot="1" x14ac:dyDescent="0.25">
      <c r="A70" s="32"/>
      <c r="B70" s="502" t="s">
        <v>110</v>
      </c>
      <c r="C70" s="503"/>
      <c r="D70" s="503"/>
      <c r="E70" s="503"/>
      <c r="F70" s="503"/>
      <c r="G70" s="503"/>
      <c r="H70" s="503"/>
      <c r="I70" s="503"/>
      <c r="J70" s="503"/>
      <c r="K70" s="503"/>
      <c r="L70" s="504"/>
      <c r="M70" s="34"/>
    </row>
    <row r="71" spans="1:13" ht="21" thickBot="1" x14ac:dyDescent="0.25">
      <c r="A71" s="32"/>
      <c r="B71" s="63" t="s">
        <v>10</v>
      </c>
      <c r="C71" s="502" t="s">
        <v>83</v>
      </c>
      <c r="D71" s="503"/>
      <c r="E71" s="503"/>
      <c r="F71" s="503"/>
      <c r="G71" s="503"/>
      <c r="H71" s="503"/>
      <c r="I71" s="503"/>
      <c r="J71" s="503"/>
      <c r="K71" s="503"/>
      <c r="L71" s="504"/>
      <c r="M71" s="34"/>
    </row>
    <row r="72" spans="1:13" ht="20.25" x14ac:dyDescent="0.2">
      <c r="A72" s="32"/>
      <c r="B72" s="122"/>
      <c r="C72" s="592"/>
      <c r="D72" s="593"/>
      <c r="E72" s="593"/>
      <c r="F72" s="593"/>
      <c r="G72" s="593"/>
      <c r="H72" s="593"/>
      <c r="I72" s="593"/>
      <c r="J72" s="593"/>
      <c r="K72" s="593"/>
      <c r="L72" s="594"/>
      <c r="M72" s="34"/>
    </row>
    <row r="73" spans="1:13" ht="20.25" x14ac:dyDescent="0.2">
      <c r="A73" s="32"/>
      <c r="B73" s="124"/>
      <c r="C73" s="586"/>
      <c r="D73" s="587"/>
      <c r="E73" s="587"/>
      <c r="F73" s="587"/>
      <c r="G73" s="587"/>
      <c r="H73" s="587"/>
      <c r="I73" s="587"/>
      <c r="J73" s="587"/>
      <c r="K73" s="587"/>
      <c r="L73" s="588"/>
      <c r="M73" s="34"/>
    </row>
    <row r="74" spans="1:13" ht="20.25" x14ac:dyDescent="0.2">
      <c r="A74" s="32"/>
      <c r="B74" s="124"/>
      <c r="C74" s="586"/>
      <c r="D74" s="587"/>
      <c r="E74" s="587"/>
      <c r="F74" s="587"/>
      <c r="G74" s="587"/>
      <c r="H74" s="587"/>
      <c r="I74" s="587"/>
      <c r="J74" s="587"/>
      <c r="K74" s="587"/>
      <c r="L74" s="588"/>
      <c r="M74" s="34"/>
    </row>
    <row r="75" spans="1:13" ht="20.25" x14ac:dyDescent="0.2">
      <c r="A75" s="32"/>
      <c r="B75" s="124"/>
      <c r="C75" s="586"/>
      <c r="D75" s="587"/>
      <c r="E75" s="587"/>
      <c r="F75" s="587"/>
      <c r="G75" s="587"/>
      <c r="H75" s="587"/>
      <c r="I75" s="587"/>
      <c r="J75" s="587"/>
      <c r="K75" s="587"/>
      <c r="L75" s="588"/>
      <c r="M75" s="34"/>
    </row>
    <row r="76" spans="1:13" ht="20.25" x14ac:dyDescent="0.2">
      <c r="A76" s="32"/>
      <c r="B76" s="124"/>
      <c r="C76" s="586"/>
      <c r="D76" s="587"/>
      <c r="E76" s="587"/>
      <c r="F76" s="587"/>
      <c r="G76" s="587"/>
      <c r="H76" s="587"/>
      <c r="I76" s="587"/>
      <c r="J76" s="587"/>
      <c r="K76" s="587"/>
      <c r="L76" s="588"/>
      <c r="M76" s="34"/>
    </row>
    <row r="77" spans="1:13" ht="20.25" x14ac:dyDescent="0.2">
      <c r="A77" s="32"/>
      <c r="B77" s="124"/>
      <c r="C77" s="586"/>
      <c r="D77" s="587"/>
      <c r="E77" s="587"/>
      <c r="F77" s="587"/>
      <c r="G77" s="587"/>
      <c r="H77" s="587"/>
      <c r="I77" s="587"/>
      <c r="J77" s="587"/>
      <c r="K77" s="587"/>
      <c r="L77" s="588"/>
      <c r="M77" s="34"/>
    </row>
    <row r="78" spans="1:13" ht="20.25" x14ac:dyDescent="0.2">
      <c r="A78" s="32"/>
      <c r="B78" s="124"/>
      <c r="C78" s="586"/>
      <c r="D78" s="587"/>
      <c r="E78" s="587"/>
      <c r="F78" s="587"/>
      <c r="G78" s="587"/>
      <c r="H78" s="587"/>
      <c r="I78" s="587"/>
      <c r="J78" s="587"/>
      <c r="K78" s="587"/>
      <c r="L78" s="588"/>
      <c r="M78" s="34"/>
    </row>
    <row r="79" spans="1:13" ht="20.25" x14ac:dyDescent="0.2">
      <c r="A79" s="32"/>
      <c r="B79" s="124"/>
      <c r="C79" s="586"/>
      <c r="D79" s="587"/>
      <c r="E79" s="587"/>
      <c r="F79" s="587"/>
      <c r="G79" s="587"/>
      <c r="H79" s="587"/>
      <c r="I79" s="587"/>
      <c r="J79" s="587"/>
      <c r="K79" s="587"/>
      <c r="L79" s="588"/>
      <c r="M79" s="34"/>
    </row>
    <row r="80" spans="1:13" ht="20.25" x14ac:dyDescent="0.2">
      <c r="A80" s="32"/>
      <c r="B80" s="124"/>
      <c r="C80" s="586"/>
      <c r="D80" s="587"/>
      <c r="E80" s="587"/>
      <c r="F80" s="587"/>
      <c r="G80" s="587"/>
      <c r="H80" s="587"/>
      <c r="I80" s="587"/>
      <c r="J80" s="587"/>
      <c r="K80" s="587"/>
      <c r="L80" s="588"/>
      <c r="M80" s="34"/>
    </row>
    <row r="81" spans="1:13" ht="20.25" x14ac:dyDescent="0.2">
      <c r="A81" s="32"/>
      <c r="B81" s="124"/>
      <c r="C81" s="586"/>
      <c r="D81" s="587"/>
      <c r="E81" s="587"/>
      <c r="F81" s="587"/>
      <c r="G81" s="587"/>
      <c r="H81" s="587"/>
      <c r="I81" s="587"/>
      <c r="J81" s="587"/>
      <c r="K81" s="587"/>
      <c r="L81" s="588"/>
      <c r="M81" s="34"/>
    </row>
    <row r="82" spans="1:13" ht="20.25" x14ac:dyDescent="0.2">
      <c r="A82" s="32"/>
      <c r="B82" s="124"/>
      <c r="C82" s="586"/>
      <c r="D82" s="587"/>
      <c r="E82" s="587"/>
      <c r="F82" s="587"/>
      <c r="G82" s="587"/>
      <c r="H82" s="587"/>
      <c r="I82" s="587"/>
      <c r="J82" s="587"/>
      <c r="K82" s="587"/>
      <c r="L82" s="588"/>
      <c r="M82" s="34"/>
    </row>
    <row r="83" spans="1:13" ht="20.25" x14ac:dyDescent="0.2">
      <c r="A83" s="32"/>
      <c r="B83" s="124"/>
      <c r="C83" s="586"/>
      <c r="D83" s="587"/>
      <c r="E83" s="587"/>
      <c r="F83" s="587"/>
      <c r="G83" s="587"/>
      <c r="H83" s="587"/>
      <c r="I83" s="587"/>
      <c r="J83" s="587"/>
      <c r="K83" s="587"/>
      <c r="L83" s="588"/>
      <c r="M83" s="34"/>
    </row>
    <row r="84" spans="1:13" ht="20.25" x14ac:dyDescent="0.2">
      <c r="A84" s="32"/>
      <c r="B84" s="124"/>
      <c r="C84" s="586"/>
      <c r="D84" s="587"/>
      <c r="E84" s="587"/>
      <c r="F84" s="587"/>
      <c r="G84" s="587"/>
      <c r="H84" s="587"/>
      <c r="I84" s="587"/>
      <c r="J84" s="587"/>
      <c r="K84" s="587"/>
      <c r="L84" s="588"/>
      <c r="M84" s="34"/>
    </row>
    <row r="85" spans="1:13" ht="20.25" x14ac:dyDescent="0.2">
      <c r="A85" s="32"/>
      <c r="B85" s="124"/>
      <c r="C85" s="586"/>
      <c r="D85" s="587"/>
      <c r="E85" s="587"/>
      <c r="F85" s="587"/>
      <c r="G85" s="587"/>
      <c r="H85" s="587"/>
      <c r="I85" s="587"/>
      <c r="J85" s="587"/>
      <c r="K85" s="587"/>
      <c r="L85" s="588"/>
      <c r="M85" s="34"/>
    </row>
    <row r="86" spans="1:13" ht="20.25" x14ac:dyDescent="0.2">
      <c r="A86" s="32"/>
      <c r="B86" s="124"/>
      <c r="C86" s="586"/>
      <c r="D86" s="587"/>
      <c r="E86" s="587"/>
      <c r="F86" s="587"/>
      <c r="G86" s="587"/>
      <c r="H86" s="587"/>
      <c r="I86" s="587"/>
      <c r="J86" s="587"/>
      <c r="K86" s="587"/>
      <c r="L86" s="588"/>
      <c r="M86" s="34"/>
    </row>
    <row r="87" spans="1:13" ht="20.25" x14ac:dyDescent="0.2">
      <c r="A87" s="32"/>
      <c r="B87" s="124"/>
      <c r="C87" s="586"/>
      <c r="D87" s="587"/>
      <c r="E87" s="587"/>
      <c r="F87" s="587"/>
      <c r="G87" s="587"/>
      <c r="H87" s="587"/>
      <c r="I87" s="587"/>
      <c r="J87" s="587"/>
      <c r="K87" s="587"/>
      <c r="L87" s="588"/>
      <c r="M87" s="34"/>
    </row>
    <row r="88" spans="1:13" ht="20.25" x14ac:dyDescent="0.2">
      <c r="A88" s="32"/>
      <c r="B88" s="124"/>
      <c r="C88" s="586"/>
      <c r="D88" s="587"/>
      <c r="E88" s="587"/>
      <c r="F88" s="587"/>
      <c r="G88" s="587"/>
      <c r="H88" s="587"/>
      <c r="I88" s="587"/>
      <c r="J88" s="587"/>
      <c r="K88" s="587"/>
      <c r="L88" s="588"/>
      <c r="M88" s="34"/>
    </row>
    <row r="89" spans="1:13" ht="20.25" x14ac:dyDescent="0.2">
      <c r="A89" s="32"/>
      <c r="B89" s="124"/>
      <c r="C89" s="586"/>
      <c r="D89" s="587"/>
      <c r="E89" s="587"/>
      <c r="F89" s="587"/>
      <c r="G89" s="587"/>
      <c r="H89" s="587"/>
      <c r="I89" s="587"/>
      <c r="J89" s="587"/>
      <c r="K89" s="587"/>
      <c r="L89" s="588"/>
      <c r="M89" s="34"/>
    </row>
    <row r="90" spans="1:13" ht="20.25" x14ac:dyDescent="0.2">
      <c r="A90" s="32"/>
      <c r="B90" s="124"/>
      <c r="C90" s="586"/>
      <c r="D90" s="587"/>
      <c r="E90" s="587"/>
      <c r="F90" s="587"/>
      <c r="G90" s="587"/>
      <c r="H90" s="587"/>
      <c r="I90" s="587"/>
      <c r="J90" s="587"/>
      <c r="K90" s="587"/>
      <c r="L90" s="588"/>
      <c r="M90" s="34"/>
    </row>
    <row r="91" spans="1:13" ht="20.25" x14ac:dyDescent="0.2">
      <c r="A91" s="32"/>
      <c r="B91" s="124"/>
      <c r="C91" s="586"/>
      <c r="D91" s="587"/>
      <c r="E91" s="587"/>
      <c r="F91" s="587"/>
      <c r="G91" s="587"/>
      <c r="H91" s="587"/>
      <c r="I91" s="587"/>
      <c r="J91" s="587"/>
      <c r="K91" s="587"/>
      <c r="L91" s="588"/>
      <c r="M91" s="34"/>
    </row>
    <row r="92" spans="1:13" ht="20.25" x14ac:dyDescent="0.2">
      <c r="A92" s="32"/>
      <c r="B92" s="124"/>
      <c r="C92" s="586"/>
      <c r="D92" s="587"/>
      <c r="E92" s="587"/>
      <c r="F92" s="587"/>
      <c r="G92" s="587"/>
      <c r="H92" s="587"/>
      <c r="I92" s="587"/>
      <c r="J92" s="587"/>
      <c r="K92" s="587"/>
      <c r="L92" s="588"/>
      <c r="M92" s="34"/>
    </row>
    <row r="93" spans="1:13" ht="20.25" x14ac:dyDescent="0.2">
      <c r="A93" s="32"/>
      <c r="B93" s="124"/>
      <c r="C93" s="586"/>
      <c r="D93" s="587"/>
      <c r="E93" s="587"/>
      <c r="F93" s="587"/>
      <c r="G93" s="587"/>
      <c r="H93" s="587"/>
      <c r="I93" s="587"/>
      <c r="J93" s="587"/>
      <c r="K93" s="587"/>
      <c r="L93" s="588"/>
      <c r="M93" s="34"/>
    </row>
    <row r="94" spans="1:13" ht="20.25" x14ac:dyDescent="0.2">
      <c r="A94" s="32"/>
      <c r="B94" s="124"/>
      <c r="C94" s="586"/>
      <c r="D94" s="587"/>
      <c r="E94" s="587"/>
      <c r="F94" s="587"/>
      <c r="G94" s="587"/>
      <c r="H94" s="587"/>
      <c r="I94" s="587"/>
      <c r="J94" s="587"/>
      <c r="K94" s="587"/>
      <c r="L94" s="588"/>
      <c r="M94" s="34"/>
    </row>
    <row r="95" spans="1:13" ht="20.25" x14ac:dyDescent="0.2">
      <c r="A95" s="32"/>
      <c r="B95" s="124"/>
      <c r="C95" s="586"/>
      <c r="D95" s="587"/>
      <c r="E95" s="587"/>
      <c r="F95" s="587"/>
      <c r="G95" s="587"/>
      <c r="H95" s="587"/>
      <c r="I95" s="587"/>
      <c r="J95" s="587"/>
      <c r="K95" s="587"/>
      <c r="L95" s="588"/>
      <c r="M95" s="34"/>
    </row>
    <row r="96" spans="1:13" ht="20.25" x14ac:dyDescent="0.2">
      <c r="A96" s="32"/>
      <c r="B96" s="124"/>
      <c r="C96" s="586"/>
      <c r="D96" s="587"/>
      <c r="E96" s="587"/>
      <c r="F96" s="587"/>
      <c r="G96" s="587"/>
      <c r="H96" s="587"/>
      <c r="I96" s="587"/>
      <c r="J96" s="587"/>
      <c r="K96" s="587"/>
      <c r="L96" s="588"/>
      <c r="M96" s="34"/>
    </row>
    <row r="97" spans="1:13" ht="20.25" x14ac:dyDescent="0.2">
      <c r="A97" s="32"/>
      <c r="B97" s="124"/>
      <c r="C97" s="586"/>
      <c r="D97" s="587"/>
      <c r="E97" s="587"/>
      <c r="F97" s="587"/>
      <c r="G97" s="587"/>
      <c r="H97" s="587"/>
      <c r="I97" s="587"/>
      <c r="J97" s="587"/>
      <c r="K97" s="587"/>
      <c r="L97" s="588"/>
      <c r="M97" s="34"/>
    </row>
    <row r="98" spans="1:13" ht="20.25" x14ac:dyDescent="0.2">
      <c r="A98" s="32"/>
      <c r="B98" s="124"/>
      <c r="C98" s="586"/>
      <c r="D98" s="587"/>
      <c r="E98" s="587"/>
      <c r="F98" s="587"/>
      <c r="G98" s="587"/>
      <c r="H98" s="587"/>
      <c r="I98" s="587"/>
      <c r="J98" s="587"/>
      <c r="K98" s="587"/>
      <c r="L98" s="588"/>
      <c r="M98" s="34"/>
    </row>
    <row r="99" spans="1:13" ht="20.25" x14ac:dyDescent="0.2">
      <c r="A99" s="32"/>
      <c r="B99" s="124"/>
      <c r="C99" s="586"/>
      <c r="D99" s="587"/>
      <c r="E99" s="587"/>
      <c r="F99" s="587"/>
      <c r="G99" s="587"/>
      <c r="H99" s="587"/>
      <c r="I99" s="587"/>
      <c r="J99" s="587"/>
      <c r="K99" s="587"/>
      <c r="L99" s="588"/>
      <c r="M99" s="34"/>
    </row>
    <row r="100" spans="1:13" ht="20.25" x14ac:dyDescent="0.2">
      <c r="A100" s="32"/>
      <c r="B100" s="124"/>
      <c r="C100" s="586"/>
      <c r="D100" s="587"/>
      <c r="E100" s="587"/>
      <c r="F100" s="587"/>
      <c r="G100" s="587"/>
      <c r="H100" s="587"/>
      <c r="I100" s="587"/>
      <c r="J100" s="587"/>
      <c r="K100" s="587"/>
      <c r="L100" s="588"/>
      <c r="M100" s="34"/>
    </row>
    <row r="101" spans="1:13" ht="20.25" x14ac:dyDescent="0.2">
      <c r="A101" s="32"/>
      <c r="B101" s="124"/>
      <c r="C101" s="586"/>
      <c r="D101" s="587"/>
      <c r="E101" s="587"/>
      <c r="F101" s="587"/>
      <c r="G101" s="587"/>
      <c r="H101" s="587"/>
      <c r="I101" s="587"/>
      <c r="J101" s="587"/>
      <c r="K101" s="587"/>
      <c r="L101" s="588"/>
      <c r="M101" s="34"/>
    </row>
    <row r="102" spans="1:13" ht="20.25" x14ac:dyDescent="0.2">
      <c r="A102" s="32"/>
      <c r="B102" s="124"/>
      <c r="C102" s="586"/>
      <c r="D102" s="587"/>
      <c r="E102" s="587"/>
      <c r="F102" s="587"/>
      <c r="G102" s="587"/>
      <c r="H102" s="587"/>
      <c r="I102" s="587"/>
      <c r="J102" s="587"/>
      <c r="K102" s="587"/>
      <c r="L102" s="588"/>
      <c r="M102" s="34"/>
    </row>
    <row r="103" spans="1:13" ht="20.25" x14ac:dyDescent="0.2">
      <c r="A103" s="32"/>
      <c r="B103" s="124"/>
      <c r="C103" s="586"/>
      <c r="D103" s="587"/>
      <c r="E103" s="587"/>
      <c r="F103" s="587"/>
      <c r="G103" s="587"/>
      <c r="H103" s="587"/>
      <c r="I103" s="587"/>
      <c r="J103" s="587"/>
      <c r="K103" s="587"/>
      <c r="L103" s="588"/>
      <c r="M103" s="34"/>
    </row>
    <row r="104" spans="1:13" ht="20.25" x14ac:dyDescent="0.2">
      <c r="A104" s="32"/>
      <c r="B104" s="124"/>
      <c r="C104" s="586"/>
      <c r="D104" s="587"/>
      <c r="E104" s="587"/>
      <c r="F104" s="587"/>
      <c r="G104" s="587"/>
      <c r="H104" s="587"/>
      <c r="I104" s="587"/>
      <c r="J104" s="587"/>
      <c r="K104" s="587"/>
      <c r="L104" s="588"/>
      <c r="M104" s="34"/>
    </row>
    <row r="105" spans="1:13" ht="20.25" x14ac:dyDescent="0.2">
      <c r="A105" s="32"/>
      <c r="B105" s="124"/>
      <c r="C105" s="586"/>
      <c r="D105" s="587"/>
      <c r="E105" s="587"/>
      <c r="F105" s="587"/>
      <c r="G105" s="587"/>
      <c r="H105" s="587"/>
      <c r="I105" s="587"/>
      <c r="J105" s="587"/>
      <c r="K105" s="587"/>
      <c r="L105" s="588"/>
      <c r="M105" s="34"/>
    </row>
    <row r="106" spans="1:13" ht="20.25" x14ac:dyDescent="0.2">
      <c r="A106" s="32"/>
      <c r="B106" s="124"/>
      <c r="C106" s="586"/>
      <c r="D106" s="587"/>
      <c r="E106" s="587"/>
      <c r="F106" s="587"/>
      <c r="G106" s="587"/>
      <c r="H106" s="587"/>
      <c r="I106" s="587"/>
      <c r="J106" s="587"/>
      <c r="K106" s="587"/>
      <c r="L106" s="588"/>
      <c r="M106" s="34"/>
    </row>
    <row r="107" spans="1:13" ht="20.25" x14ac:dyDescent="0.2">
      <c r="A107" s="32"/>
      <c r="B107" s="124"/>
      <c r="C107" s="586"/>
      <c r="D107" s="587"/>
      <c r="E107" s="587"/>
      <c r="F107" s="587"/>
      <c r="G107" s="587"/>
      <c r="H107" s="587"/>
      <c r="I107" s="587"/>
      <c r="J107" s="587"/>
      <c r="K107" s="587"/>
      <c r="L107" s="588"/>
      <c r="M107" s="34"/>
    </row>
    <row r="108" spans="1:13" ht="20.25" x14ac:dyDescent="0.2">
      <c r="A108" s="32"/>
      <c r="B108" s="124"/>
      <c r="C108" s="586"/>
      <c r="D108" s="587"/>
      <c r="E108" s="587"/>
      <c r="F108" s="587"/>
      <c r="G108" s="587"/>
      <c r="H108" s="587"/>
      <c r="I108" s="587"/>
      <c r="J108" s="587"/>
      <c r="K108" s="587"/>
      <c r="L108" s="588"/>
      <c r="M108" s="34"/>
    </row>
    <row r="109" spans="1:13" ht="20.25" x14ac:dyDescent="0.2">
      <c r="A109" s="32"/>
      <c r="B109" s="124"/>
      <c r="C109" s="586"/>
      <c r="D109" s="587"/>
      <c r="E109" s="587"/>
      <c r="F109" s="587"/>
      <c r="G109" s="587"/>
      <c r="H109" s="587"/>
      <c r="I109" s="587"/>
      <c r="J109" s="587"/>
      <c r="K109" s="587"/>
      <c r="L109" s="588"/>
      <c r="M109" s="34"/>
    </row>
    <row r="110" spans="1:13" ht="20.25" x14ac:dyDescent="0.2">
      <c r="A110" s="32"/>
      <c r="B110" s="124"/>
      <c r="C110" s="586"/>
      <c r="D110" s="587"/>
      <c r="E110" s="587"/>
      <c r="F110" s="587"/>
      <c r="G110" s="587"/>
      <c r="H110" s="587"/>
      <c r="I110" s="587"/>
      <c r="J110" s="587"/>
      <c r="K110" s="587"/>
      <c r="L110" s="588"/>
      <c r="M110" s="34"/>
    </row>
    <row r="111" spans="1:13" ht="20.25" x14ac:dyDescent="0.2">
      <c r="A111" s="32"/>
      <c r="B111" s="124"/>
      <c r="C111" s="586"/>
      <c r="D111" s="587"/>
      <c r="E111" s="587"/>
      <c r="F111" s="587"/>
      <c r="G111" s="587"/>
      <c r="H111" s="587"/>
      <c r="I111" s="587"/>
      <c r="J111" s="587"/>
      <c r="K111" s="587"/>
      <c r="L111" s="588"/>
      <c r="M111" s="34"/>
    </row>
    <row r="112" spans="1:13" ht="20.25" x14ac:dyDescent="0.2">
      <c r="A112" s="32"/>
      <c r="B112" s="124"/>
      <c r="C112" s="586"/>
      <c r="D112" s="587"/>
      <c r="E112" s="587"/>
      <c r="F112" s="587"/>
      <c r="G112" s="587"/>
      <c r="H112" s="587"/>
      <c r="I112" s="587"/>
      <c r="J112" s="587"/>
      <c r="K112" s="587"/>
      <c r="L112" s="588"/>
      <c r="M112" s="34"/>
    </row>
    <row r="113" spans="1:13" ht="20.25" x14ac:dyDescent="0.2">
      <c r="A113" s="32"/>
      <c r="B113" s="124"/>
      <c r="C113" s="586"/>
      <c r="D113" s="587"/>
      <c r="E113" s="587"/>
      <c r="F113" s="587"/>
      <c r="G113" s="587"/>
      <c r="H113" s="587"/>
      <c r="I113" s="587"/>
      <c r="J113" s="587"/>
      <c r="K113" s="587"/>
      <c r="L113" s="588"/>
      <c r="M113" s="34"/>
    </row>
    <row r="114" spans="1:13" ht="20.25" x14ac:dyDescent="0.2">
      <c r="A114" s="32"/>
      <c r="B114" s="124"/>
      <c r="C114" s="586"/>
      <c r="D114" s="587"/>
      <c r="E114" s="587"/>
      <c r="F114" s="587"/>
      <c r="G114" s="587"/>
      <c r="H114" s="587"/>
      <c r="I114" s="587"/>
      <c r="J114" s="587"/>
      <c r="K114" s="587"/>
      <c r="L114" s="588"/>
      <c r="M114" s="34"/>
    </row>
    <row r="115" spans="1:13" ht="20.25" x14ac:dyDescent="0.2">
      <c r="A115" s="32"/>
      <c r="B115" s="124"/>
      <c r="C115" s="586"/>
      <c r="D115" s="587"/>
      <c r="E115" s="587"/>
      <c r="F115" s="587"/>
      <c r="G115" s="587"/>
      <c r="H115" s="587"/>
      <c r="I115" s="587"/>
      <c r="J115" s="587"/>
      <c r="K115" s="587"/>
      <c r="L115" s="588"/>
      <c r="M115" s="34"/>
    </row>
    <row r="116" spans="1:13" ht="20.25" x14ac:dyDescent="0.2">
      <c r="A116" s="32"/>
      <c r="B116" s="124"/>
      <c r="C116" s="586"/>
      <c r="D116" s="587"/>
      <c r="E116" s="587"/>
      <c r="F116" s="587"/>
      <c r="G116" s="587"/>
      <c r="H116" s="587"/>
      <c r="I116" s="587"/>
      <c r="J116" s="587"/>
      <c r="K116" s="587"/>
      <c r="L116" s="588"/>
      <c r="M116" s="34"/>
    </row>
    <row r="117" spans="1:13" ht="20.25" x14ac:dyDescent="0.2">
      <c r="A117" s="32"/>
      <c r="B117" s="124"/>
      <c r="C117" s="586"/>
      <c r="D117" s="587"/>
      <c r="E117" s="587"/>
      <c r="F117" s="587"/>
      <c r="G117" s="587"/>
      <c r="H117" s="587"/>
      <c r="I117" s="587"/>
      <c r="J117" s="587"/>
      <c r="K117" s="587"/>
      <c r="L117" s="588"/>
      <c r="M117" s="34"/>
    </row>
    <row r="118" spans="1:13" ht="20.25" x14ac:dyDescent="0.2">
      <c r="A118" s="32"/>
      <c r="B118" s="124"/>
      <c r="C118" s="586"/>
      <c r="D118" s="587"/>
      <c r="E118" s="587"/>
      <c r="F118" s="587"/>
      <c r="G118" s="587"/>
      <c r="H118" s="587"/>
      <c r="I118" s="587"/>
      <c r="J118" s="587"/>
      <c r="K118" s="587"/>
      <c r="L118" s="588"/>
      <c r="M118" s="34"/>
    </row>
    <row r="119" spans="1:13" ht="20.25" x14ac:dyDescent="0.2">
      <c r="A119" s="32"/>
      <c r="B119" s="124"/>
      <c r="C119" s="586"/>
      <c r="D119" s="587"/>
      <c r="E119" s="587"/>
      <c r="F119" s="587"/>
      <c r="G119" s="587"/>
      <c r="H119" s="587"/>
      <c r="I119" s="587"/>
      <c r="J119" s="587"/>
      <c r="K119" s="587"/>
      <c r="L119" s="588"/>
      <c r="M119" s="34"/>
    </row>
    <row r="120" spans="1:13" ht="20.25" x14ac:dyDescent="0.2">
      <c r="A120" s="32"/>
      <c r="B120" s="124"/>
      <c r="C120" s="586"/>
      <c r="D120" s="587"/>
      <c r="E120" s="587"/>
      <c r="F120" s="587"/>
      <c r="G120" s="587"/>
      <c r="H120" s="587"/>
      <c r="I120" s="587"/>
      <c r="J120" s="587"/>
      <c r="K120" s="587"/>
      <c r="L120" s="588"/>
      <c r="M120" s="34"/>
    </row>
    <row r="121" spans="1:13" ht="21" thickBot="1" x14ac:dyDescent="0.25">
      <c r="A121" s="32"/>
      <c r="B121" s="126"/>
      <c r="C121" s="589"/>
      <c r="D121" s="590"/>
      <c r="E121" s="590"/>
      <c r="F121" s="590"/>
      <c r="G121" s="590"/>
      <c r="H121" s="590"/>
      <c r="I121" s="590"/>
      <c r="J121" s="590"/>
      <c r="K121" s="590"/>
      <c r="L121" s="591"/>
      <c r="M121" s="34"/>
    </row>
    <row r="122" spans="1:13" ht="21" thickBot="1" x14ac:dyDescent="0.25">
      <c r="A122" s="32"/>
      <c r="B122" s="33"/>
      <c r="C122" s="33"/>
      <c r="D122" s="33"/>
      <c r="E122" s="33"/>
      <c r="F122" s="33"/>
      <c r="G122" s="33"/>
      <c r="H122" s="33"/>
      <c r="I122" s="33"/>
      <c r="J122" s="33"/>
      <c r="K122" s="33"/>
      <c r="L122" s="33"/>
      <c r="M122" s="34"/>
    </row>
    <row r="123" spans="1:13" ht="24.75" thickTop="1" thickBot="1" x14ac:dyDescent="0.25">
      <c r="A123" s="24"/>
      <c r="B123" s="25"/>
      <c r="C123" s="25"/>
      <c r="D123" s="25"/>
      <c r="E123" s="26"/>
      <c r="F123" s="27"/>
      <c r="G123" s="27"/>
      <c r="H123" s="27"/>
      <c r="I123" s="27"/>
      <c r="J123" s="25"/>
      <c r="K123" s="25"/>
      <c r="L123" s="28"/>
      <c r="M123" s="29"/>
    </row>
    <row r="124" spans="1:13" x14ac:dyDescent="0.2">
      <c r="A124" s="30"/>
      <c r="B124" s="493" t="s">
        <v>109</v>
      </c>
      <c r="C124" s="494"/>
      <c r="D124" s="494"/>
      <c r="E124" s="494"/>
      <c r="F124" s="494"/>
      <c r="G124" s="494"/>
      <c r="H124" s="494"/>
      <c r="I124" s="494"/>
      <c r="J124" s="494"/>
      <c r="K124" s="494"/>
      <c r="L124" s="495"/>
      <c r="M124" s="34"/>
    </row>
    <row r="125" spans="1:13" x14ac:dyDescent="0.2">
      <c r="A125" s="30"/>
      <c r="B125" s="496"/>
      <c r="C125" s="497"/>
      <c r="D125" s="497"/>
      <c r="E125" s="497"/>
      <c r="F125" s="497"/>
      <c r="G125" s="497"/>
      <c r="H125" s="497"/>
      <c r="I125" s="497"/>
      <c r="J125" s="497"/>
      <c r="K125" s="497"/>
      <c r="L125" s="498"/>
      <c r="M125" s="34"/>
    </row>
    <row r="126" spans="1:13" x14ac:dyDescent="0.2">
      <c r="A126" s="30"/>
      <c r="B126" s="496"/>
      <c r="C126" s="497"/>
      <c r="D126" s="497"/>
      <c r="E126" s="497"/>
      <c r="F126" s="497"/>
      <c r="G126" s="497"/>
      <c r="H126" s="497"/>
      <c r="I126" s="497"/>
      <c r="J126" s="497"/>
      <c r="K126" s="497"/>
      <c r="L126" s="498"/>
      <c r="M126" s="34"/>
    </row>
    <row r="127" spans="1:13" x14ac:dyDescent="0.2">
      <c r="A127" s="30"/>
      <c r="B127" s="496"/>
      <c r="C127" s="497"/>
      <c r="D127" s="497"/>
      <c r="E127" s="497"/>
      <c r="F127" s="497"/>
      <c r="G127" s="497"/>
      <c r="H127" s="497"/>
      <c r="I127" s="497"/>
      <c r="J127" s="497"/>
      <c r="K127" s="497"/>
      <c r="L127" s="498"/>
      <c r="M127" s="34"/>
    </row>
    <row r="128" spans="1:13" ht="21" thickBot="1" x14ac:dyDescent="0.25">
      <c r="A128" s="31"/>
      <c r="B128" s="499"/>
      <c r="C128" s="500"/>
      <c r="D128" s="500"/>
      <c r="E128" s="500"/>
      <c r="F128" s="500"/>
      <c r="G128" s="500"/>
      <c r="H128" s="500"/>
      <c r="I128" s="500"/>
      <c r="J128" s="500"/>
      <c r="K128" s="500"/>
      <c r="L128" s="501"/>
      <c r="M128" s="34"/>
    </row>
    <row r="129" spans="1:13" ht="20.25" x14ac:dyDescent="0.2">
      <c r="A129" s="32"/>
      <c r="B129" s="33"/>
      <c r="C129" s="33"/>
      <c r="D129" s="33"/>
      <c r="E129" s="33"/>
      <c r="F129" s="33"/>
      <c r="G129" s="33"/>
      <c r="H129" s="33"/>
      <c r="I129" s="33"/>
      <c r="J129" s="33"/>
      <c r="K129" s="33"/>
      <c r="L129" s="33"/>
      <c r="M129" s="34"/>
    </row>
    <row r="130" spans="1:13" ht="21" thickBot="1" x14ac:dyDescent="0.25">
      <c r="A130" s="32"/>
      <c r="B130" s="33"/>
      <c r="C130" s="33"/>
      <c r="D130" s="33"/>
      <c r="E130" s="33"/>
      <c r="F130" s="33"/>
      <c r="G130" s="33"/>
      <c r="H130" s="33"/>
      <c r="I130" s="33"/>
      <c r="J130" s="33"/>
      <c r="K130" s="33"/>
      <c r="L130" s="33"/>
      <c r="M130" s="34"/>
    </row>
    <row r="131" spans="1:13" ht="21" thickBot="1" x14ac:dyDescent="0.25">
      <c r="A131" s="32"/>
      <c r="B131" s="502" t="s">
        <v>110</v>
      </c>
      <c r="C131" s="503"/>
      <c r="D131" s="503"/>
      <c r="E131" s="503"/>
      <c r="F131" s="503"/>
      <c r="G131" s="503"/>
      <c r="H131" s="503"/>
      <c r="I131" s="503"/>
      <c r="J131" s="503"/>
      <c r="K131" s="503"/>
      <c r="L131" s="504"/>
      <c r="M131" s="34"/>
    </row>
    <row r="132" spans="1:13" ht="21" thickBot="1" x14ac:dyDescent="0.25">
      <c r="A132" s="32"/>
      <c r="B132" s="63" t="s">
        <v>10</v>
      </c>
      <c r="C132" s="502" t="s">
        <v>83</v>
      </c>
      <c r="D132" s="503"/>
      <c r="E132" s="503"/>
      <c r="F132" s="503"/>
      <c r="G132" s="503"/>
      <c r="H132" s="503"/>
      <c r="I132" s="503"/>
      <c r="J132" s="503"/>
      <c r="K132" s="503"/>
      <c r="L132" s="504"/>
      <c r="M132" s="34"/>
    </row>
    <row r="133" spans="1:13" ht="20.25" x14ac:dyDescent="0.2">
      <c r="A133" s="32"/>
      <c r="B133" s="122"/>
      <c r="C133" s="592"/>
      <c r="D133" s="593"/>
      <c r="E133" s="593"/>
      <c r="F133" s="593"/>
      <c r="G133" s="593"/>
      <c r="H133" s="593"/>
      <c r="I133" s="593"/>
      <c r="J133" s="593"/>
      <c r="K133" s="593"/>
      <c r="L133" s="594"/>
      <c r="M133" s="34"/>
    </row>
    <row r="134" spans="1:13" ht="20.25" x14ac:dyDescent="0.2">
      <c r="A134" s="32"/>
      <c r="B134" s="124"/>
      <c r="C134" s="586"/>
      <c r="D134" s="587"/>
      <c r="E134" s="587"/>
      <c r="F134" s="587"/>
      <c r="G134" s="587"/>
      <c r="H134" s="587"/>
      <c r="I134" s="587"/>
      <c r="J134" s="587"/>
      <c r="K134" s="587"/>
      <c r="L134" s="588"/>
      <c r="M134" s="34"/>
    </row>
    <row r="135" spans="1:13" ht="20.25" x14ac:dyDescent="0.2">
      <c r="A135" s="32"/>
      <c r="B135" s="124"/>
      <c r="C135" s="586"/>
      <c r="D135" s="587"/>
      <c r="E135" s="587"/>
      <c r="F135" s="587"/>
      <c r="G135" s="587"/>
      <c r="H135" s="587"/>
      <c r="I135" s="587"/>
      <c r="J135" s="587"/>
      <c r="K135" s="587"/>
      <c r="L135" s="588"/>
      <c r="M135" s="34"/>
    </row>
    <row r="136" spans="1:13" ht="20.25" x14ac:dyDescent="0.2">
      <c r="A136" s="32"/>
      <c r="B136" s="124"/>
      <c r="C136" s="586"/>
      <c r="D136" s="587"/>
      <c r="E136" s="587"/>
      <c r="F136" s="587"/>
      <c r="G136" s="587"/>
      <c r="H136" s="587"/>
      <c r="I136" s="587"/>
      <c r="J136" s="587"/>
      <c r="K136" s="587"/>
      <c r="L136" s="588"/>
      <c r="M136" s="34"/>
    </row>
    <row r="137" spans="1:13" ht="20.25" x14ac:dyDescent="0.2">
      <c r="A137" s="32"/>
      <c r="B137" s="124"/>
      <c r="C137" s="586"/>
      <c r="D137" s="587"/>
      <c r="E137" s="587"/>
      <c r="F137" s="587"/>
      <c r="G137" s="587"/>
      <c r="H137" s="587"/>
      <c r="I137" s="587"/>
      <c r="J137" s="587"/>
      <c r="K137" s="587"/>
      <c r="L137" s="588"/>
      <c r="M137" s="34"/>
    </row>
    <row r="138" spans="1:13" ht="20.25" x14ac:dyDescent="0.2">
      <c r="A138" s="32"/>
      <c r="B138" s="124"/>
      <c r="C138" s="586"/>
      <c r="D138" s="587"/>
      <c r="E138" s="587"/>
      <c r="F138" s="587"/>
      <c r="G138" s="587"/>
      <c r="H138" s="587"/>
      <c r="I138" s="587"/>
      <c r="J138" s="587"/>
      <c r="K138" s="587"/>
      <c r="L138" s="588"/>
      <c r="M138" s="34"/>
    </row>
    <row r="139" spans="1:13" ht="20.25" x14ac:dyDescent="0.2">
      <c r="A139" s="32"/>
      <c r="B139" s="124"/>
      <c r="C139" s="586"/>
      <c r="D139" s="587"/>
      <c r="E139" s="587"/>
      <c r="F139" s="587"/>
      <c r="G139" s="587"/>
      <c r="H139" s="587"/>
      <c r="I139" s="587"/>
      <c r="J139" s="587"/>
      <c r="K139" s="587"/>
      <c r="L139" s="588"/>
      <c r="M139" s="34"/>
    </row>
    <row r="140" spans="1:13" ht="20.25" x14ac:dyDescent="0.2">
      <c r="A140" s="32"/>
      <c r="B140" s="124"/>
      <c r="C140" s="586"/>
      <c r="D140" s="587"/>
      <c r="E140" s="587"/>
      <c r="F140" s="587"/>
      <c r="G140" s="587"/>
      <c r="H140" s="587"/>
      <c r="I140" s="587"/>
      <c r="J140" s="587"/>
      <c r="K140" s="587"/>
      <c r="L140" s="588"/>
      <c r="M140" s="34"/>
    </row>
    <row r="141" spans="1:13" ht="20.25" x14ac:dyDescent="0.2">
      <c r="A141" s="32"/>
      <c r="B141" s="124"/>
      <c r="C141" s="586"/>
      <c r="D141" s="587"/>
      <c r="E141" s="587"/>
      <c r="F141" s="587"/>
      <c r="G141" s="587"/>
      <c r="H141" s="587"/>
      <c r="I141" s="587"/>
      <c r="J141" s="587"/>
      <c r="K141" s="587"/>
      <c r="L141" s="588"/>
      <c r="M141" s="34"/>
    </row>
    <row r="142" spans="1:13" ht="20.25" x14ac:dyDescent="0.2">
      <c r="A142" s="32"/>
      <c r="B142" s="124"/>
      <c r="C142" s="586"/>
      <c r="D142" s="587"/>
      <c r="E142" s="587"/>
      <c r="F142" s="587"/>
      <c r="G142" s="587"/>
      <c r="H142" s="587"/>
      <c r="I142" s="587"/>
      <c r="J142" s="587"/>
      <c r="K142" s="587"/>
      <c r="L142" s="588"/>
      <c r="M142" s="34"/>
    </row>
    <row r="143" spans="1:13" ht="20.25" x14ac:dyDescent="0.2">
      <c r="A143" s="32"/>
      <c r="B143" s="124"/>
      <c r="C143" s="586"/>
      <c r="D143" s="587"/>
      <c r="E143" s="587"/>
      <c r="F143" s="587"/>
      <c r="G143" s="587"/>
      <c r="H143" s="587"/>
      <c r="I143" s="587"/>
      <c r="J143" s="587"/>
      <c r="K143" s="587"/>
      <c r="L143" s="588"/>
      <c r="M143" s="34"/>
    </row>
    <row r="144" spans="1:13" ht="20.25" x14ac:dyDescent="0.2">
      <c r="A144" s="32"/>
      <c r="B144" s="124"/>
      <c r="C144" s="586"/>
      <c r="D144" s="587"/>
      <c r="E144" s="587"/>
      <c r="F144" s="587"/>
      <c r="G144" s="587"/>
      <c r="H144" s="587"/>
      <c r="I144" s="587"/>
      <c r="J144" s="587"/>
      <c r="K144" s="587"/>
      <c r="L144" s="588"/>
      <c r="M144" s="34"/>
    </row>
    <row r="145" spans="1:13" ht="20.25" x14ac:dyDescent="0.2">
      <c r="A145" s="32"/>
      <c r="B145" s="124"/>
      <c r="C145" s="586"/>
      <c r="D145" s="587"/>
      <c r="E145" s="587"/>
      <c r="F145" s="587"/>
      <c r="G145" s="587"/>
      <c r="H145" s="587"/>
      <c r="I145" s="587"/>
      <c r="J145" s="587"/>
      <c r="K145" s="587"/>
      <c r="L145" s="588"/>
      <c r="M145" s="34"/>
    </row>
    <row r="146" spans="1:13" ht="20.25" x14ac:dyDescent="0.2">
      <c r="A146" s="32"/>
      <c r="B146" s="124"/>
      <c r="C146" s="586"/>
      <c r="D146" s="587"/>
      <c r="E146" s="587"/>
      <c r="F146" s="587"/>
      <c r="G146" s="587"/>
      <c r="H146" s="587"/>
      <c r="I146" s="587"/>
      <c r="J146" s="587"/>
      <c r="K146" s="587"/>
      <c r="L146" s="588"/>
      <c r="M146" s="34"/>
    </row>
    <row r="147" spans="1:13" ht="20.25" x14ac:dyDescent="0.2">
      <c r="A147" s="32"/>
      <c r="B147" s="124"/>
      <c r="C147" s="586"/>
      <c r="D147" s="587"/>
      <c r="E147" s="587"/>
      <c r="F147" s="587"/>
      <c r="G147" s="587"/>
      <c r="H147" s="587"/>
      <c r="I147" s="587"/>
      <c r="J147" s="587"/>
      <c r="K147" s="587"/>
      <c r="L147" s="588"/>
      <c r="M147" s="34"/>
    </row>
    <row r="148" spans="1:13" ht="20.25" x14ac:dyDescent="0.2">
      <c r="A148" s="32"/>
      <c r="B148" s="124"/>
      <c r="C148" s="586"/>
      <c r="D148" s="587"/>
      <c r="E148" s="587"/>
      <c r="F148" s="587"/>
      <c r="G148" s="587"/>
      <c r="H148" s="587"/>
      <c r="I148" s="587"/>
      <c r="J148" s="587"/>
      <c r="K148" s="587"/>
      <c r="L148" s="588"/>
      <c r="M148" s="34"/>
    </row>
    <row r="149" spans="1:13" ht="20.25" x14ac:dyDescent="0.2">
      <c r="A149" s="32"/>
      <c r="B149" s="124"/>
      <c r="C149" s="586"/>
      <c r="D149" s="587"/>
      <c r="E149" s="587"/>
      <c r="F149" s="587"/>
      <c r="G149" s="587"/>
      <c r="H149" s="587"/>
      <c r="I149" s="587"/>
      <c r="J149" s="587"/>
      <c r="K149" s="587"/>
      <c r="L149" s="588"/>
      <c r="M149" s="34"/>
    </row>
    <row r="150" spans="1:13" ht="20.25" x14ac:dyDescent="0.2">
      <c r="A150" s="32"/>
      <c r="B150" s="124"/>
      <c r="C150" s="586"/>
      <c r="D150" s="587"/>
      <c r="E150" s="587"/>
      <c r="F150" s="587"/>
      <c r="G150" s="587"/>
      <c r="H150" s="587"/>
      <c r="I150" s="587"/>
      <c r="J150" s="587"/>
      <c r="K150" s="587"/>
      <c r="L150" s="588"/>
      <c r="M150" s="34"/>
    </row>
    <row r="151" spans="1:13" ht="20.25" x14ac:dyDescent="0.2">
      <c r="A151" s="32"/>
      <c r="B151" s="124"/>
      <c r="C151" s="586"/>
      <c r="D151" s="587"/>
      <c r="E151" s="587"/>
      <c r="F151" s="587"/>
      <c r="G151" s="587"/>
      <c r="H151" s="587"/>
      <c r="I151" s="587"/>
      <c r="J151" s="587"/>
      <c r="K151" s="587"/>
      <c r="L151" s="588"/>
      <c r="M151" s="34"/>
    </row>
    <row r="152" spans="1:13" ht="20.25" x14ac:dyDescent="0.2">
      <c r="A152" s="32"/>
      <c r="B152" s="124"/>
      <c r="C152" s="586"/>
      <c r="D152" s="587"/>
      <c r="E152" s="587"/>
      <c r="F152" s="587"/>
      <c r="G152" s="587"/>
      <c r="H152" s="587"/>
      <c r="I152" s="587"/>
      <c r="J152" s="587"/>
      <c r="K152" s="587"/>
      <c r="L152" s="588"/>
      <c r="M152" s="34"/>
    </row>
    <row r="153" spans="1:13" ht="20.25" x14ac:dyDescent="0.2">
      <c r="A153" s="32"/>
      <c r="B153" s="124"/>
      <c r="C153" s="586"/>
      <c r="D153" s="587"/>
      <c r="E153" s="587"/>
      <c r="F153" s="587"/>
      <c r="G153" s="587"/>
      <c r="H153" s="587"/>
      <c r="I153" s="587"/>
      <c r="J153" s="587"/>
      <c r="K153" s="587"/>
      <c r="L153" s="588"/>
      <c r="M153" s="34"/>
    </row>
    <row r="154" spans="1:13" ht="20.25" x14ac:dyDescent="0.2">
      <c r="A154" s="32"/>
      <c r="B154" s="124"/>
      <c r="C154" s="586"/>
      <c r="D154" s="587"/>
      <c r="E154" s="587"/>
      <c r="F154" s="587"/>
      <c r="G154" s="587"/>
      <c r="H154" s="587"/>
      <c r="I154" s="587"/>
      <c r="J154" s="587"/>
      <c r="K154" s="587"/>
      <c r="L154" s="588"/>
      <c r="M154" s="34"/>
    </row>
    <row r="155" spans="1:13" ht="20.25" x14ac:dyDescent="0.2">
      <c r="A155" s="32"/>
      <c r="B155" s="124"/>
      <c r="C155" s="586"/>
      <c r="D155" s="587"/>
      <c r="E155" s="587"/>
      <c r="F155" s="587"/>
      <c r="G155" s="587"/>
      <c r="H155" s="587"/>
      <c r="I155" s="587"/>
      <c r="J155" s="587"/>
      <c r="K155" s="587"/>
      <c r="L155" s="588"/>
      <c r="M155" s="34"/>
    </row>
    <row r="156" spans="1:13" ht="20.25" x14ac:dyDescent="0.2">
      <c r="A156" s="32"/>
      <c r="B156" s="124"/>
      <c r="C156" s="586"/>
      <c r="D156" s="587"/>
      <c r="E156" s="587"/>
      <c r="F156" s="587"/>
      <c r="G156" s="587"/>
      <c r="H156" s="587"/>
      <c r="I156" s="587"/>
      <c r="J156" s="587"/>
      <c r="K156" s="587"/>
      <c r="L156" s="588"/>
      <c r="M156" s="34"/>
    </row>
    <row r="157" spans="1:13" ht="20.25" x14ac:dyDescent="0.2">
      <c r="A157" s="32"/>
      <c r="B157" s="124"/>
      <c r="C157" s="586"/>
      <c r="D157" s="587"/>
      <c r="E157" s="587"/>
      <c r="F157" s="587"/>
      <c r="G157" s="587"/>
      <c r="H157" s="587"/>
      <c r="I157" s="587"/>
      <c r="J157" s="587"/>
      <c r="K157" s="587"/>
      <c r="L157" s="588"/>
      <c r="M157" s="34"/>
    </row>
    <row r="158" spans="1:13" ht="20.25" x14ac:dyDescent="0.2">
      <c r="A158" s="32"/>
      <c r="B158" s="124"/>
      <c r="C158" s="586"/>
      <c r="D158" s="587"/>
      <c r="E158" s="587"/>
      <c r="F158" s="587"/>
      <c r="G158" s="587"/>
      <c r="H158" s="587"/>
      <c r="I158" s="587"/>
      <c r="J158" s="587"/>
      <c r="K158" s="587"/>
      <c r="L158" s="588"/>
      <c r="M158" s="34"/>
    </row>
    <row r="159" spans="1:13" ht="20.25" x14ac:dyDescent="0.2">
      <c r="A159" s="32"/>
      <c r="B159" s="124"/>
      <c r="C159" s="586"/>
      <c r="D159" s="587"/>
      <c r="E159" s="587"/>
      <c r="F159" s="587"/>
      <c r="G159" s="587"/>
      <c r="H159" s="587"/>
      <c r="I159" s="587"/>
      <c r="J159" s="587"/>
      <c r="K159" s="587"/>
      <c r="L159" s="588"/>
      <c r="M159" s="34"/>
    </row>
    <row r="160" spans="1:13" ht="20.25" x14ac:dyDescent="0.2">
      <c r="A160" s="32"/>
      <c r="B160" s="124"/>
      <c r="C160" s="586"/>
      <c r="D160" s="587"/>
      <c r="E160" s="587"/>
      <c r="F160" s="587"/>
      <c r="G160" s="587"/>
      <c r="H160" s="587"/>
      <c r="I160" s="587"/>
      <c r="J160" s="587"/>
      <c r="K160" s="587"/>
      <c r="L160" s="588"/>
      <c r="M160" s="34"/>
    </row>
    <row r="161" spans="1:13" ht="20.25" x14ac:dyDescent="0.2">
      <c r="A161" s="32"/>
      <c r="B161" s="124"/>
      <c r="C161" s="586"/>
      <c r="D161" s="587"/>
      <c r="E161" s="587"/>
      <c r="F161" s="587"/>
      <c r="G161" s="587"/>
      <c r="H161" s="587"/>
      <c r="I161" s="587"/>
      <c r="J161" s="587"/>
      <c r="K161" s="587"/>
      <c r="L161" s="588"/>
      <c r="M161" s="34"/>
    </row>
    <row r="162" spans="1:13" ht="20.25" x14ac:dyDescent="0.2">
      <c r="A162" s="32"/>
      <c r="B162" s="124"/>
      <c r="C162" s="586"/>
      <c r="D162" s="587"/>
      <c r="E162" s="587"/>
      <c r="F162" s="587"/>
      <c r="G162" s="587"/>
      <c r="H162" s="587"/>
      <c r="I162" s="587"/>
      <c r="J162" s="587"/>
      <c r="K162" s="587"/>
      <c r="L162" s="588"/>
      <c r="M162" s="34"/>
    </row>
    <row r="163" spans="1:13" ht="20.25" x14ac:dyDescent="0.2">
      <c r="A163" s="32"/>
      <c r="B163" s="124"/>
      <c r="C163" s="586"/>
      <c r="D163" s="587"/>
      <c r="E163" s="587"/>
      <c r="F163" s="587"/>
      <c r="G163" s="587"/>
      <c r="H163" s="587"/>
      <c r="I163" s="587"/>
      <c r="J163" s="587"/>
      <c r="K163" s="587"/>
      <c r="L163" s="588"/>
      <c r="M163" s="34"/>
    </row>
    <row r="164" spans="1:13" ht="20.25" x14ac:dyDescent="0.2">
      <c r="A164" s="32"/>
      <c r="B164" s="124"/>
      <c r="C164" s="586"/>
      <c r="D164" s="587"/>
      <c r="E164" s="587"/>
      <c r="F164" s="587"/>
      <c r="G164" s="587"/>
      <c r="H164" s="587"/>
      <c r="I164" s="587"/>
      <c r="J164" s="587"/>
      <c r="K164" s="587"/>
      <c r="L164" s="588"/>
      <c r="M164" s="34"/>
    </row>
    <row r="165" spans="1:13" ht="20.25" x14ac:dyDescent="0.2">
      <c r="A165" s="32"/>
      <c r="B165" s="124"/>
      <c r="C165" s="586"/>
      <c r="D165" s="587"/>
      <c r="E165" s="587"/>
      <c r="F165" s="587"/>
      <c r="G165" s="587"/>
      <c r="H165" s="587"/>
      <c r="I165" s="587"/>
      <c r="J165" s="587"/>
      <c r="K165" s="587"/>
      <c r="L165" s="588"/>
      <c r="M165" s="34"/>
    </row>
    <row r="166" spans="1:13" ht="20.25" x14ac:dyDescent="0.2">
      <c r="A166" s="32"/>
      <c r="B166" s="124"/>
      <c r="C166" s="586"/>
      <c r="D166" s="587"/>
      <c r="E166" s="587"/>
      <c r="F166" s="587"/>
      <c r="G166" s="587"/>
      <c r="H166" s="587"/>
      <c r="I166" s="587"/>
      <c r="J166" s="587"/>
      <c r="K166" s="587"/>
      <c r="L166" s="588"/>
      <c r="M166" s="34"/>
    </row>
    <row r="167" spans="1:13" ht="20.25" x14ac:dyDescent="0.2">
      <c r="A167" s="32"/>
      <c r="B167" s="124"/>
      <c r="C167" s="586"/>
      <c r="D167" s="587"/>
      <c r="E167" s="587"/>
      <c r="F167" s="587"/>
      <c r="G167" s="587"/>
      <c r="H167" s="587"/>
      <c r="I167" s="587"/>
      <c r="J167" s="587"/>
      <c r="K167" s="587"/>
      <c r="L167" s="588"/>
      <c r="M167" s="34"/>
    </row>
    <row r="168" spans="1:13" ht="20.25" x14ac:dyDescent="0.2">
      <c r="A168" s="32"/>
      <c r="B168" s="124"/>
      <c r="C168" s="586"/>
      <c r="D168" s="587"/>
      <c r="E168" s="587"/>
      <c r="F168" s="587"/>
      <c r="G168" s="587"/>
      <c r="H168" s="587"/>
      <c r="I168" s="587"/>
      <c r="J168" s="587"/>
      <c r="K168" s="587"/>
      <c r="L168" s="588"/>
      <c r="M168" s="34"/>
    </row>
    <row r="169" spans="1:13" ht="20.25" x14ac:dyDescent="0.2">
      <c r="A169" s="32"/>
      <c r="B169" s="124"/>
      <c r="C169" s="586"/>
      <c r="D169" s="587"/>
      <c r="E169" s="587"/>
      <c r="F169" s="587"/>
      <c r="G169" s="587"/>
      <c r="H169" s="587"/>
      <c r="I169" s="587"/>
      <c r="J169" s="587"/>
      <c r="K169" s="587"/>
      <c r="L169" s="588"/>
      <c r="M169" s="34"/>
    </row>
    <row r="170" spans="1:13" ht="20.25" x14ac:dyDescent="0.2">
      <c r="A170" s="32"/>
      <c r="B170" s="124"/>
      <c r="C170" s="586"/>
      <c r="D170" s="587"/>
      <c r="E170" s="587"/>
      <c r="F170" s="587"/>
      <c r="G170" s="587"/>
      <c r="H170" s="587"/>
      <c r="I170" s="587"/>
      <c r="J170" s="587"/>
      <c r="K170" s="587"/>
      <c r="L170" s="588"/>
      <c r="M170" s="34"/>
    </row>
    <row r="171" spans="1:13" ht="20.25" x14ac:dyDescent="0.2">
      <c r="A171" s="32"/>
      <c r="B171" s="124"/>
      <c r="C171" s="586"/>
      <c r="D171" s="587"/>
      <c r="E171" s="587"/>
      <c r="F171" s="587"/>
      <c r="G171" s="587"/>
      <c r="H171" s="587"/>
      <c r="I171" s="587"/>
      <c r="J171" s="587"/>
      <c r="K171" s="587"/>
      <c r="L171" s="588"/>
      <c r="M171" s="34"/>
    </row>
    <row r="172" spans="1:13" ht="20.25" x14ac:dyDescent="0.2">
      <c r="A172" s="32"/>
      <c r="B172" s="124"/>
      <c r="C172" s="586"/>
      <c r="D172" s="587"/>
      <c r="E172" s="587"/>
      <c r="F172" s="587"/>
      <c r="G172" s="587"/>
      <c r="H172" s="587"/>
      <c r="I172" s="587"/>
      <c r="J172" s="587"/>
      <c r="K172" s="587"/>
      <c r="L172" s="588"/>
      <c r="M172" s="34"/>
    </row>
    <row r="173" spans="1:13" ht="20.25" x14ac:dyDescent="0.2">
      <c r="A173" s="32"/>
      <c r="B173" s="124"/>
      <c r="C173" s="586"/>
      <c r="D173" s="587"/>
      <c r="E173" s="587"/>
      <c r="F173" s="587"/>
      <c r="G173" s="587"/>
      <c r="H173" s="587"/>
      <c r="I173" s="587"/>
      <c r="J173" s="587"/>
      <c r="K173" s="587"/>
      <c r="L173" s="588"/>
      <c r="M173" s="34"/>
    </row>
    <row r="174" spans="1:13" ht="20.25" x14ac:dyDescent="0.2">
      <c r="A174" s="32"/>
      <c r="B174" s="124"/>
      <c r="C174" s="586"/>
      <c r="D174" s="587"/>
      <c r="E174" s="587"/>
      <c r="F174" s="587"/>
      <c r="G174" s="587"/>
      <c r="H174" s="587"/>
      <c r="I174" s="587"/>
      <c r="J174" s="587"/>
      <c r="K174" s="587"/>
      <c r="L174" s="588"/>
      <c r="M174" s="34"/>
    </row>
    <row r="175" spans="1:13" ht="20.25" x14ac:dyDescent="0.2">
      <c r="A175" s="32"/>
      <c r="B175" s="124"/>
      <c r="C175" s="586"/>
      <c r="D175" s="587"/>
      <c r="E175" s="587"/>
      <c r="F175" s="587"/>
      <c r="G175" s="587"/>
      <c r="H175" s="587"/>
      <c r="I175" s="587"/>
      <c r="J175" s="587"/>
      <c r="K175" s="587"/>
      <c r="L175" s="588"/>
      <c r="M175" s="34"/>
    </row>
    <row r="176" spans="1:13" ht="20.25" x14ac:dyDescent="0.2">
      <c r="A176" s="32"/>
      <c r="B176" s="124"/>
      <c r="C176" s="586"/>
      <c r="D176" s="587"/>
      <c r="E176" s="587"/>
      <c r="F176" s="587"/>
      <c r="G176" s="587"/>
      <c r="H176" s="587"/>
      <c r="I176" s="587"/>
      <c r="J176" s="587"/>
      <c r="K176" s="587"/>
      <c r="L176" s="588"/>
      <c r="M176" s="34"/>
    </row>
    <row r="177" spans="1:13" ht="20.25" x14ac:dyDescent="0.2">
      <c r="A177" s="32"/>
      <c r="B177" s="124"/>
      <c r="C177" s="586"/>
      <c r="D177" s="587"/>
      <c r="E177" s="587"/>
      <c r="F177" s="587"/>
      <c r="G177" s="587"/>
      <c r="H177" s="587"/>
      <c r="I177" s="587"/>
      <c r="J177" s="587"/>
      <c r="K177" s="587"/>
      <c r="L177" s="588"/>
      <c r="M177" s="34"/>
    </row>
    <row r="178" spans="1:13" ht="20.25" x14ac:dyDescent="0.2">
      <c r="A178" s="32"/>
      <c r="B178" s="124"/>
      <c r="C178" s="586"/>
      <c r="D178" s="587"/>
      <c r="E178" s="587"/>
      <c r="F178" s="587"/>
      <c r="G178" s="587"/>
      <c r="H178" s="587"/>
      <c r="I178" s="587"/>
      <c r="J178" s="587"/>
      <c r="K178" s="587"/>
      <c r="L178" s="588"/>
      <c r="M178" s="34"/>
    </row>
    <row r="179" spans="1:13" ht="20.25" x14ac:dyDescent="0.2">
      <c r="A179" s="32"/>
      <c r="B179" s="124"/>
      <c r="C179" s="586"/>
      <c r="D179" s="587"/>
      <c r="E179" s="587"/>
      <c r="F179" s="587"/>
      <c r="G179" s="587"/>
      <c r="H179" s="587"/>
      <c r="I179" s="587"/>
      <c r="J179" s="587"/>
      <c r="K179" s="587"/>
      <c r="L179" s="588"/>
      <c r="M179" s="34"/>
    </row>
    <row r="180" spans="1:13" ht="20.25" x14ac:dyDescent="0.2">
      <c r="A180" s="32"/>
      <c r="B180" s="124"/>
      <c r="C180" s="586"/>
      <c r="D180" s="587"/>
      <c r="E180" s="587"/>
      <c r="F180" s="587"/>
      <c r="G180" s="587"/>
      <c r="H180" s="587"/>
      <c r="I180" s="587"/>
      <c r="J180" s="587"/>
      <c r="K180" s="587"/>
      <c r="L180" s="588"/>
      <c r="M180" s="34"/>
    </row>
    <row r="181" spans="1:13" ht="20.25" x14ac:dyDescent="0.2">
      <c r="A181" s="32"/>
      <c r="B181" s="124"/>
      <c r="C181" s="586"/>
      <c r="D181" s="587"/>
      <c r="E181" s="587"/>
      <c r="F181" s="587"/>
      <c r="G181" s="587"/>
      <c r="H181" s="587"/>
      <c r="I181" s="587"/>
      <c r="J181" s="587"/>
      <c r="K181" s="587"/>
      <c r="L181" s="588"/>
      <c r="M181" s="34"/>
    </row>
    <row r="182" spans="1:13" ht="21" thickBot="1" x14ac:dyDescent="0.25">
      <c r="A182" s="32"/>
      <c r="B182" s="126"/>
      <c r="C182" s="589"/>
      <c r="D182" s="590"/>
      <c r="E182" s="590"/>
      <c r="F182" s="590"/>
      <c r="G182" s="590"/>
      <c r="H182" s="590"/>
      <c r="I182" s="590"/>
      <c r="J182" s="590"/>
      <c r="K182" s="590"/>
      <c r="L182" s="591"/>
      <c r="M182" s="34"/>
    </row>
    <row r="183" spans="1:13" ht="21" thickBot="1" x14ac:dyDescent="0.25">
      <c r="A183" s="32"/>
      <c r="B183" s="33"/>
      <c r="C183" s="33"/>
      <c r="D183" s="33"/>
      <c r="E183" s="33"/>
      <c r="F183" s="33"/>
      <c r="G183" s="33"/>
      <c r="H183" s="33"/>
      <c r="I183" s="33"/>
      <c r="J183" s="33"/>
      <c r="K183" s="33"/>
      <c r="L183" s="33"/>
      <c r="M183" s="34"/>
    </row>
    <row r="184" spans="1:13" ht="24.75" thickTop="1" thickBot="1" x14ac:dyDescent="0.25">
      <c r="A184" s="24"/>
      <c r="B184" s="25"/>
      <c r="C184" s="25"/>
      <c r="D184" s="25"/>
      <c r="E184" s="26"/>
      <c r="F184" s="27"/>
      <c r="G184" s="27"/>
      <c r="H184" s="27"/>
      <c r="I184" s="27"/>
      <c r="J184" s="25"/>
      <c r="K184" s="25"/>
      <c r="L184" s="28"/>
      <c r="M184" s="29"/>
    </row>
    <row r="185" spans="1:13" x14ac:dyDescent="0.2">
      <c r="A185" s="30"/>
      <c r="B185" s="493" t="s">
        <v>109</v>
      </c>
      <c r="C185" s="494"/>
      <c r="D185" s="494"/>
      <c r="E185" s="494"/>
      <c r="F185" s="494"/>
      <c r="G185" s="494"/>
      <c r="H185" s="494"/>
      <c r="I185" s="494"/>
      <c r="J185" s="494"/>
      <c r="K185" s="494"/>
      <c r="L185" s="495"/>
      <c r="M185" s="34"/>
    </row>
    <row r="186" spans="1:13" x14ac:dyDescent="0.2">
      <c r="A186" s="30"/>
      <c r="B186" s="496"/>
      <c r="C186" s="497"/>
      <c r="D186" s="497"/>
      <c r="E186" s="497"/>
      <c r="F186" s="497"/>
      <c r="G186" s="497"/>
      <c r="H186" s="497"/>
      <c r="I186" s="497"/>
      <c r="J186" s="497"/>
      <c r="K186" s="497"/>
      <c r="L186" s="498"/>
      <c r="M186" s="34"/>
    </row>
    <row r="187" spans="1:13" x14ac:dyDescent="0.2">
      <c r="A187" s="30"/>
      <c r="B187" s="496"/>
      <c r="C187" s="497"/>
      <c r="D187" s="497"/>
      <c r="E187" s="497"/>
      <c r="F187" s="497"/>
      <c r="G187" s="497"/>
      <c r="H187" s="497"/>
      <c r="I187" s="497"/>
      <c r="J187" s="497"/>
      <c r="K187" s="497"/>
      <c r="L187" s="498"/>
      <c r="M187" s="34"/>
    </row>
    <row r="188" spans="1:13" x14ac:dyDescent="0.2">
      <c r="A188" s="30"/>
      <c r="B188" s="496"/>
      <c r="C188" s="497"/>
      <c r="D188" s="497"/>
      <c r="E188" s="497"/>
      <c r="F188" s="497"/>
      <c r="G188" s="497"/>
      <c r="H188" s="497"/>
      <c r="I188" s="497"/>
      <c r="J188" s="497"/>
      <c r="K188" s="497"/>
      <c r="L188" s="498"/>
      <c r="M188" s="34"/>
    </row>
    <row r="189" spans="1:13" ht="21" thickBot="1" x14ac:dyDescent="0.25">
      <c r="A189" s="31"/>
      <c r="B189" s="499"/>
      <c r="C189" s="500"/>
      <c r="D189" s="500"/>
      <c r="E189" s="500"/>
      <c r="F189" s="500"/>
      <c r="G189" s="500"/>
      <c r="H189" s="500"/>
      <c r="I189" s="500"/>
      <c r="J189" s="500"/>
      <c r="K189" s="500"/>
      <c r="L189" s="501"/>
      <c r="M189" s="34"/>
    </row>
    <row r="190" spans="1:13" ht="20.25" x14ac:dyDescent="0.2">
      <c r="A190" s="32"/>
      <c r="B190" s="33"/>
      <c r="C190" s="33"/>
      <c r="D190" s="33"/>
      <c r="E190" s="33"/>
      <c r="F190" s="33"/>
      <c r="G190" s="33"/>
      <c r="H190" s="33"/>
      <c r="I190" s="33"/>
      <c r="J190" s="33"/>
      <c r="K190" s="33"/>
      <c r="L190" s="33"/>
      <c r="M190" s="34"/>
    </row>
    <row r="191" spans="1:13" ht="21" thickBot="1" x14ac:dyDescent="0.25">
      <c r="A191" s="32"/>
      <c r="B191" s="33"/>
      <c r="C191" s="33"/>
      <c r="D191" s="33"/>
      <c r="E191" s="33"/>
      <c r="F191" s="33"/>
      <c r="G191" s="33"/>
      <c r="H191" s="33"/>
      <c r="I191" s="33"/>
      <c r="J191" s="33"/>
      <c r="K191" s="33"/>
      <c r="L191" s="33"/>
      <c r="M191" s="34"/>
    </row>
    <row r="192" spans="1:13" ht="21" thickBot="1" x14ac:dyDescent="0.25">
      <c r="A192" s="32"/>
      <c r="B192" s="502" t="s">
        <v>110</v>
      </c>
      <c r="C192" s="503"/>
      <c r="D192" s="503"/>
      <c r="E192" s="503"/>
      <c r="F192" s="503"/>
      <c r="G192" s="503"/>
      <c r="H192" s="503"/>
      <c r="I192" s="503"/>
      <c r="J192" s="503"/>
      <c r="K192" s="503"/>
      <c r="L192" s="504"/>
      <c r="M192" s="34"/>
    </row>
    <row r="193" spans="1:13" ht="21" thickBot="1" x14ac:dyDescent="0.25">
      <c r="A193" s="32"/>
      <c r="B193" s="63" t="s">
        <v>10</v>
      </c>
      <c r="C193" s="502" t="s">
        <v>83</v>
      </c>
      <c r="D193" s="503"/>
      <c r="E193" s="503"/>
      <c r="F193" s="503"/>
      <c r="G193" s="503"/>
      <c r="H193" s="503"/>
      <c r="I193" s="503"/>
      <c r="J193" s="503"/>
      <c r="K193" s="503"/>
      <c r="L193" s="504"/>
      <c r="M193" s="34"/>
    </row>
    <row r="194" spans="1:13" ht="20.25" x14ac:dyDescent="0.2">
      <c r="A194" s="32"/>
      <c r="B194" s="122"/>
      <c r="C194" s="592"/>
      <c r="D194" s="593"/>
      <c r="E194" s="593"/>
      <c r="F194" s="593"/>
      <c r="G194" s="593"/>
      <c r="H194" s="593"/>
      <c r="I194" s="593"/>
      <c r="J194" s="593"/>
      <c r="K194" s="593"/>
      <c r="L194" s="594"/>
      <c r="M194" s="34"/>
    </row>
    <row r="195" spans="1:13" ht="20.25" x14ac:dyDescent="0.2">
      <c r="A195" s="32"/>
      <c r="B195" s="124"/>
      <c r="C195" s="586"/>
      <c r="D195" s="587"/>
      <c r="E195" s="587"/>
      <c r="F195" s="587"/>
      <c r="G195" s="587"/>
      <c r="H195" s="587"/>
      <c r="I195" s="587"/>
      <c r="J195" s="587"/>
      <c r="K195" s="587"/>
      <c r="L195" s="588"/>
      <c r="M195" s="34"/>
    </row>
    <row r="196" spans="1:13" ht="20.25" x14ac:dyDescent="0.2">
      <c r="A196" s="32"/>
      <c r="B196" s="124"/>
      <c r="C196" s="586"/>
      <c r="D196" s="587"/>
      <c r="E196" s="587"/>
      <c r="F196" s="587"/>
      <c r="G196" s="587"/>
      <c r="H196" s="587"/>
      <c r="I196" s="587"/>
      <c r="J196" s="587"/>
      <c r="K196" s="587"/>
      <c r="L196" s="588"/>
      <c r="M196" s="34"/>
    </row>
    <row r="197" spans="1:13" ht="20.25" x14ac:dyDescent="0.2">
      <c r="A197" s="32"/>
      <c r="B197" s="124"/>
      <c r="C197" s="586"/>
      <c r="D197" s="587"/>
      <c r="E197" s="587"/>
      <c r="F197" s="587"/>
      <c r="G197" s="587"/>
      <c r="H197" s="587"/>
      <c r="I197" s="587"/>
      <c r="J197" s="587"/>
      <c r="K197" s="587"/>
      <c r="L197" s="588"/>
      <c r="M197" s="34"/>
    </row>
    <row r="198" spans="1:13" ht="20.25" x14ac:dyDescent="0.2">
      <c r="A198" s="32"/>
      <c r="B198" s="124"/>
      <c r="C198" s="586"/>
      <c r="D198" s="587"/>
      <c r="E198" s="587"/>
      <c r="F198" s="587"/>
      <c r="G198" s="587"/>
      <c r="H198" s="587"/>
      <c r="I198" s="587"/>
      <c r="J198" s="587"/>
      <c r="K198" s="587"/>
      <c r="L198" s="588"/>
      <c r="M198" s="34"/>
    </row>
    <row r="199" spans="1:13" ht="20.25" x14ac:dyDescent="0.2">
      <c r="A199" s="32"/>
      <c r="B199" s="124"/>
      <c r="C199" s="586"/>
      <c r="D199" s="587"/>
      <c r="E199" s="587"/>
      <c r="F199" s="587"/>
      <c r="G199" s="587"/>
      <c r="H199" s="587"/>
      <c r="I199" s="587"/>
      <c r="J199" s="587"/>
      <c r="K199" s="587"/>
      <c r="L199" s="588"/>
      <c r="M199" s="34"/>
    </row>
    <row r="200" spans="1:13" ht="20.25" x14ac:dyDescent="0.2">
      <c r="A200" s="32"/>
      <c r="B200" s="124"/>
      <c r="C200" s="586"/>
      <c r="D200" s="587"/>
      <c r="E200" s="587"/>
      <c r="F200" s="587"/>
      <c r="G200" s="587"/>
      <c r="H200" s="587"/>
      <c r="I200" s="587"/>
      <c r="J200" s="587"/>
      <c r="K200" s="587"/>
      <c r="L200" s="588"/>
      <c r="M200" s="34"/>
    </row>
    <row r="201" spans="1:13" ht="20.25" x14ac:dyDescent="0.2">
      <c r="A201" s="32"/>
      <c r="B201" s="124"/>
      <c r="C201" s="586"/>
      <c r="D201" s="587"/>
      <c r="E201" s="587"/>
      <c r="F201" s="587"/>
      <c r="G201" s="587"/>
      <c r="H201" s="587"/>
      <c r="I201" s="587"/>
      <c r="J201" s="587"/>
      <c r="K201" s="587"/>
      <c r="L201" s="588"/>
      <c r="M201" s="34"/>
    </row>
    <row r="202" spans="1:13" ht="20.25" x14ac:dyDescent="0.2">
      <c r="A202" s="32"/>
      <c r="B202" s="124"/>
      <c r="C202" s="586"/>
      <c r="D202" s="587"/>
      <c r="E202" s="587"/>
      <c r="F202" s="587"/>
      <c r="G202" s="587"/>
      <c r="H202" s="587"/>
      <c r="I202" s="587"/>
      <c r="J202" s="587"/>
      <c r="K202" s="587"/>
      <c r="L202" s="588"/>
      <c r="M202" s="34"/>
    </row>
    <row r="203" spans="1:13" ht="20.25" x14ac:dyDescent="0.2">
      <c r="A203" s="32"/>
      <c r="B203" s="124"/>
      <c r="C203" s="586"/>
      <c r="D203" s="587"/>
      <c r="E203" s="587"/>
      <c r="F203" s="587"/>
      <c r="G203" s="587"/>
      <c r="H203" s="587"/>
      <c r="I203" s="587"/>
      <c r="J203" s="587"/>
      <c r="K203" s="587"/>
      <c r="L203" s="588"/>
      <c r="M203" s="34"/>
    </row>
    <row r="204" spans="1:13" ht="20.25" x14ac:dyDescent="0.2">
      <c r="A204" s="32"/>
      <c r="B204" s="124"/>
      <c r="C204" s="586"/>
      <c r="D204" s="587"/>
      <c r="E204" s="587"/>
      <c r="F204" s="587"/>
      <c r="G204" s="587"/>
      <c r="H204" s="587"/>
      <c r="I204" s="587"/>
      <c r="J204" s="587"/>
      <c r="K204" s="587"/>
      <c r="L204" s="588"/>
      <c r="M204" s="34"/>
    </row>
    <row r="205" spans="1:13" ht="20.25" x14ac:dyDescent="0.2">
      <c r="A205" s="32"/>
      <c r="B205" s="124"/>
      <c r="C205" s="586"/>
      <c r="D205" s="587"/>
      <c r="E205" s="587"/>
      <c r="F205" s="587"/>
      <c r="G205" s="587"/>
      <c r="H205" s="587"/>
      <c r="I205" s="587"/>
      <c r="J205" s="587"/>
      <c r="K205" s="587"/>
      <c r="L205" s="588"/>
      <c r="M205" s="34"/>
    </row>
    <row r="206" spans="1:13" ht="20.25" x14ac:dyDescent="0.2">
      <c r="A206" s="32"/>
      <c r="B206" s="124"/>
      <c r="C206" s="586"/>
      <c r="D206" s="587"/>
      <c r="E206" s="587"/>
      <c r="F206" s="587"/>
      <c r="G206" s="587"/>
      <c r="H206" s="587"/>
      <c r="I206" s="587"/>
      <c r="J206" s="587"/>
      <c r="K206" s="587"/>
      <c r="L206" s="588"/>
      <c r="M206" s="34"/>
    </row>
    <row r="207" spans="1:13" ht="20.25" x14ac:dyDescent="0.2">
      <c r="A207" s="32"/>
      <c r="B207" s="124"/>
      <c r="C207" s="586"/>
      <c r="D207" s="587"/>
      <c r="E207" s="587"/>
      <c r="F207" s="587"/>
      <c r="G207" s="587"/>
      <c r="H207" s="587"/>
      <c r="I207" s="587"/>
      <c r="J207" s="587"/>
      <c r="K207" s="587"/>
      <c r="L207" s="588"/>
      <c r="M207" s="34"/>
    </row>
    <row r="208" spans="1:13" ht="20.25" x14ac:dyDescent="0.2">
      <c r="A208" s="32"/>
      <c r="B208" s="124"/>
      <c r="C208" s="586"/>
      <c r="D208" s="587"/>
      <c r="E208" s="587"/>
      <c r="F208" s="587"/>
      <c r="G208" s="587"/>
      <c r="H208" s="587"/>
      <c r="I208" s="587"/>
      <c r="J208" s="587"/>
      <c r="K208" s="587"/>
      <c r="L208" s="588"/>
      <c r="M208" s="34"/>
    </row>
    <row r="209" spans="1:13" ht="20.25" x14ac:dyDescent="0.2">
      <c r="A209" s="32"/>
      <c r="B209" s="124"/>
      <c r="C209" s="586"/>
      <c r="D209" s="587"/>
      <c r="E209" s="587"/>
      <c r="F209" s="587"/>
      <c r="G209" s="587"/>
      <c r="H209" s="587"/>
      <c r="I209" s="587"/>
      <c r="J209" s="587"/>
      <c r="K209" s="587"/>
      <c r="L209" s="588"/>
      <c r="M209" s="34"/>
    </row>
    <row r="210" spans="1:13" ht="20.25" x14ac:dyDescent="0.2">
      <c r="A210" s="32"/>
      <c r="B210" s="124"/>
      <c r="C210" s="586"/>
      <c r="D210" s="587"/>
      <c r="E210" s="587"/>
      <c r="F210" s="587"/>
      <c r="G210" s="587"/>
      <c r="H210" s="587"/>
      <c r="I210" s="587"/>
      <c r="J210" s="587"/>
      <c r="K210" s="587"/>
      <c r="L210" s="588"/>
      <c r="M210" s="34"/>
    </row>
    <row r="211" spans="1:13" ht="20.25" x14ac:dyDescent="0.2">
      <c r="A211" s="32"/>
      <c r="B211" s="124"/>
      <c r="C211" s="586"/>
      <c r="D211" s="587"/>
      <c r="E211" s="587"/>
      <c r="F211" s="587"/>
      <c r="G211" s="587"/>
      <c r="H211" s="587"/>
      <c r="I211" s="587"/>
      <c r="J211" s="587"/>
      <c r="K211" s="587"/>
      <c r="L211" s="588"/>
      <c r="M211" s="34"/>
    </row>
    <row r="212" spans="1:13" ht="20.25" x14ac:dyDescent="0.2">
      <c r="A212" s="32"/>
      <c r="B212" s="124"/>
      <c r="C212" s="586"/>
      <c r="D212" s="587"/>
      <c r="E212" s="587"/>
      <c r="F212" s="587"/>
      <c r="G212" s="587"/>
      <c r="H212" s="587"/>
      <c r="I212" s="587"/>
      <c r="J212" s="587"/>
      <c r="K212" s="587"/>
      <c r="L212" s="588"/>
      <c r="M212" s="34"/>
    </row>
    <row r="213" spans="1:13" ht="20.25" x14ac:dyDescent="0.2">
      <c r="A213" s="32"/>
      <c r="B213" s="124"/>
      <c r="C213" s="586"/>
      <c r="D213" s="587"/>
      <c r="E213" s="587"/>
      <c r="F213" s="587"/>
      <c r="G213" s="587"/>
      <c r="H213" s="587"/>
      <c r="I213" s="587"/>
      <c r="J213" s="587"/>
      <c r="K213" s="587"/>
      <c r="L213" s="588"/>
      <c r="M213" s="34"/>
    </row>
    <row r="214" spans="1:13" ht="20.25" x14ac:dyDescent="0.2">
      <c r="A214" s="32"/>
      <c r="B214" s="124"/>
      <c r="C214" s="586"/>
      <c r="D214" s="587"/>
      <c r="E214" s="587"/>
      <c r="F214" s="587"/>
      <c r="G214" s="587"/>
      <c r="H214" s="587"/>
      <c r="I214" s="587"/>
      <c r="J214" s="587"/>
      <c r="K214" s="587"/>
      <c r="L214" s="588"/>
      <c r="M214" s="34"/>
    </row>
    <row r="215" spans="1:13" ht="20.25" x14ac:dyDescent="0.2">
      <c r="A215" s="32"/>
      <c r="B215" s="124"/>
      <c r="C215" s="586"/>
      <c r="D215" s="587"/>
      <c r="E215" s="587"/>
      <c r="F215" s="587"/>
      <c r="G215" s="587"/>
      <c r="H215" s="587"/>
      <c r="I215" s="587"/>
      <c r="J215" s="587"/>
      <c r="K215" s="587"/>
      <c r="L215" s="588"/>
      <c r="M215" s="34"/>
    </row>
    <row r="216" spans="1:13" ht="20.25" x14ac:dyDescent="0.2">
      <c r="A216" s="32"/>
      <c r="B216" s="124"/>
      <c r="C216" s="586"/>
      <c r="D216" s="587"/>
      <c r="E216" s="587"/>
      <c r="F216" s="587"/>
      <c r="G216" s="587"/>
      <c r="H216" s="587"/>
      <c r="I216" s="587"/>
      <c r="J216" s="587"/>
      <c r="K216" s="587"/>
      <c r="L216" s="588"/>
      <c r="M216" s="34"/>
    </row>
    <row r="217" spans="1:13" ht="20.25" x14ac:dyDescent="0.2">
      <c r="A217" s="32"/>
      <c r="B217" s="124"/>
      <c r="C217" s="586"/>
      <c r="D217" s="587"/>
      <c r="E217" s="587"/>
      <c r="F217" s="587"/>
      <c r="G217" s="587"/>
      <c r="H217" s="587"/>
      <c r="I217" s="587"/>
      <c r="J217" s="587"/>
      <c r="K217" s="587"/>
      <c r="L217" s="588"/>
      <c r="M217" s="34"/>
    </row>
    <row r="218" spans="1:13" ht="20.25" x14ac:dyDescent="0.2">
      <c r="A218" s="32"/>
      <c r="B218" s="124"/>
      <c r="C218" s="586"/>
      <c r="D218" s="587"/>
      <c r="E218" s="587"/>
      <c r="F218" s="587"/>
      <c r="G218" s="587"/>
      <c r="H218" s="587"/>
      <c r="I218" s="587"/>
      <c r="J218" s="587"/>
      <c r="K218" s="587"/>
      <c r="L218" s="588"/>
      <c r="M218" s="34"/>
    </row>
    <row r="219" spans="1:13" ht="20.25" x14ac:dyDescent="0.2">
      <c r="A219" s="32"/>
      <c r="B219" s="124"/>
      <c r="C219" s="586"/>
      <c r="D219" s="587"/>
      <c r="E219" s="587"/>
      <c r="F219" s="587"/>
      <c r="G219" s="587"/>
      <c r="H219" s="587"/>
      <c r="I219" s="587"/>
      <c r="J219" s="587"/>
      <c r="K219" s="587"/>
      <c r="L219" s="588"/>
      <c r="M219" s="34"/>
    </row>
    <row r="220" spans="1:13" ht="20.25" x14ac:dyDescent="0.2">
      <c r="A220" s="32"/>
      <c r="B220" s="124"/>
      <c r="C220" s="586"/>
      <c r="D220" s="587"/>
      <c r="E220" s="587"/>
      <c r="F220" s="587"/>
      <c r="G220" s="587"/>
      <c r="H220" s="587"/>
      <c r="I220" s="587"/>
      <c r="J220" s="587"/>
      <c r="K220" s="587"/>
      <c r="L220" s="588"/>
      <c r="M220" s="34"/>
    </row>
    <row r="221" spans="1:13" ht="20.25" x14ac:dyDescent="0.2">
      <c r="A221" s="32"/>
      <c r="B221" s="124"/>
      <c r="C221" s="586"/>
      <c r="D221" s="587"/>
      <c r="E221" s="587"/>
      <c r="F221" s="587"/>
      <c r="G221" s="587"/>
      <c r="H221" s="587"/>
      <c r="I221" s="587"/>
      <c r="J221" s="587"/>
      <c r="K221" s="587"/>
      <c r="L221" s="588"/>
      <c r="M221" s="34"/>
    </row>
    <row r="222" spans="1:13" ht="20.25" x14ac:dyDescent="0.2">
      <c r="A222" s="32"/>
      <c r="B222" s="124"/>
      <c r="C222" s="586"/>
      <c r="D222" s="587"/>
      <c r="E222" s="587"/>
      <c r="F222" s="587"/>
      <c r="G222" s="587"/>
      <c r="H222" s="587"/>
      <c r="I222" s="587"/>
      <c r="J222" s="587"/>
      <c r="K222" s="587"/>
      <c r="L222" s="588"/>
      <c r="M222" s="34"/>
    </row>
    <row r="223" spans="1:13" ht="20.25" x14ac:dyDescent="0.2">
      <c r="A223" s="32"/>
      <c r="B223" s="124"/>
      <c r="C223" s="586"/>
      <c r="D223" s="587"/>
      <c r="E223" s="587"/>
      <c r="F223" s="587"/>
      <c r="G223" s="587"/>
      <c r="H223" s="587"/>
      <c r="I223" s="587"/>
      <c r="J223" s="587"/>
      <c r="K223" s="587"/>
      <c r="L223" s="588"/>
      <c r="M223" s="34"/>
    </row>
    <row r="224" spans="1:13" ht="20.25" x14ac:dyDescent="0.2">
      <c r="A224" s="32"/>
      <c r="B224" s="124"/>
      <c r="C224" s="586"/>
      <c r="D224" s="587"/>
      <c r="E224" s="587"/>
      <c r="F224" s="587"/>
      <c r="G224" s="587"/>
      <c r="H224" s="587"/>
      <c r="I224" s="587"/>
      <c r="J224" s="587"/>
      <c r="K224" s="587"/>
      <c r="L224" s="588"/>
      <c r="M224" s="34"/>
    </row>
    <row r="225" spans="1:13" ht="20.25" x14ac:dyDescent="0.2">
      <c r="A225" s="32"/>
      <c r="B225" s="124"/>
      <c r="C225" s="586"/>
      <c r="D225" s="587"/>
      <c r="E225" s="587"/>
      <c r="F225" s="587"/>
      <c r="G225" s="587"/>
      <c r="H225" s="587"/>
      <c r="I225" s="587"/>
      <c r="J225" s="587"/>
      <c r="K225" s="587"/>
      <c r="L225" s="588"/>
      <c r="M225" s="34"/>
    </row>
    <row r="226" spans="1:13" ht="20.25" x14ac:dyDescent="0.2">
      <c r="A226" s="32"/>
      <c r="B226" s="124"/>
      <c r="C226" s="586"/>
      <c r="D226" s="587"/>
      <c r="E226" s="587"/>
      <c r="F226" s="587"/>
      <c r="G226" s="587"/>
      <c r="H226" s="587"/>
      <c r="I226" s="587"/>
      <c r="J226" s="587"/>
      <c r="K226" s="587"/>
      <c r="L226" s="588"/>
      <c r="M226" s="34"/>
    </row>
    <row r="227" spans="1:13" ht="20.25" x14ac:dyDescent="0.2">
      <c r="A227" s="32"/>
      <c r="B227" s="124"/>
      <c r="C227" s="586"/>
      <c r="D227" s="587"/>
      <c r="E227" s="587"/>
      <c r="F227" s="587"/>
      <c r="G227" s="587"/>
      <c r="H227" s="587"/>
      <c r="I227" s="587"/>
      <c r="J227" s="587"/>
      <c r="K227" s="587"/>
      <c r="L227" s="588"/>
      <c r="M227" s="34"/>
    </row>
    <row r="228" spans="1:13" ht="20.25" x14ac:dyDescent="0.2">
      <c r="A228" s="32"/>
      <c r="B228" s="124"/>
      <c r="C228" s="586"/>
      <c r="D228" s="587"/>
      <c r="E228" s="587"/>
      <c r="F228" s="587"/>
      <c r="G228" s="587"/>
      <c r="H228" s="587"/>
      <c r="I228" s="587"/>
      <c r="J228" s="587"/>
      <c r="K228" s="587"/>
      <c r="L228" s="588"/>
      <c r="M228" s="34"/>
    </row>
    <row r="229" spans="1:13" ht="20.25" x14ac:dyDescent="0.2">
      <c r="A229" s="32"/>
      <c r="B229" s="124"/>
      <c r="C229" s="586"/>
      <c r="D229" s="587"/>
      <c r="E229" s="587"/>
      <c r="F229" s="587"/>
      <c r="G229" s="587"/>
      <c r="H229" s="587"/>
      <c r="I229" s="587"/>
      <c r="J229" s="587"/>
      <c r="K229" s="587"/>
      <c r="L229" s="588"/>
      <c r="M229" s="34"/>
    </row>
    <row r="230" spans="1:13" ht="20.25" x14ac:dyDescent="0.2">
      <c r="A230" s="32"/>
      <c r="B230" s="124"/>
      <c r="C230" s="586"/>
      <c r="D230" s="587"/>
      <c r="E230" s="587"/>
      <c r="F230" s="587"/>
      <c r="G230" s="587"/>
      <c r="H230" s="587"/>
      <c r="I230" s="587"/>
      <c r="J230" s="587"/>
      <c r="K230" s="587"/>
      <c r="L230" s="588"/>
      <c r="M230" s="34"/>
    </row>
    <row r="231" spans="1:13" ht="20.25" x14ac:dyDescent="0.2">
      <c r="A231" s="32"/>
      <c r="B231" s="124"/>
      <c r="C231" s="586"/>
      <c r="D231" s="587"/>
      <c r="E231" s="587"/>
      <c r="F231" s="587"/>
      <c r="G231" s="587"/>
      <c r="H231" s="587"/>
      <c r="I231" s="587"/>
      <c r="J231" s="587"/>
      <c r="K231" s="587"/>
      <c r="L231" s="588"/>
      <c r="M231" s="34"/>
    </row>
    <row r="232" spans="1:13" ht="20.25" x14ac:dyDescent="0.2">
      <c r="A232" s="32"/>
      <c r="B232" s="124"/>
      <c r="C232" s="586"/>
      <c r="D232" s="587"/>
      <c r="E232" s="587"/>
      <c r="F232" s="587"/>
      <c r="G232" s="587"/>
      <c r="H232" s="587"/>
      <c r="I232" s="587"/>
      <c r="J232" s="587"/>
      <c r="K232" s="587"/>
      <c r="L232" s="588"/>
      <c r="M232" s="34"/>
    </row>
    <row r="233" spans="1:13" ht="20.25" x14ac:dyDescent="0.2">
      <c r="A233" s="32"/>
      <c r="B233" s="124"/>
      <c r="C233" s="586"/>
      <c r="D233" s="587"/>
      <c r="E233" s="587"/>
      <c r="F233" s="587"/>
      <c r="G233" s="587"/>
      <c r="H233" s="587"/>
      <c r="I233" s="587"/>
      <c r="J233" s="587"/>
      <c r="K233" s="587"/>
      <c r="L233" s="588"/>
      <c r="M233" s="34"/>
    </row>
    <row r="234" spans="1:13" ht="20.25" x14ac:dyDescent="0.2">
      <c r="A234" s="32"/>
      <c r="B234" s="124"/>
      <c r="C234" s="586"/>
      <c r="D234" s="587"/>
      <c r="E234" s="587"/>
      <c r="F234" s="587"/>
      <c r="G234" s="587"/>
      <c r="H234" s="587"/>
      <c r="I234" s="587"/>
      <c r="J234" s="587"/>
      <c r="K234" s="587"/>
      <c r="L234" s="588"/>
      <c r="M234" s="34"/>
    </row>
    <row r="235" spans="1:13" ht="20.25" x14ac:dyDescent="0.2">
      <c r="A235" s="32"/>
      <c r="B235" s="124"/>
      <c r="C235" s="586"/>
      <c r="D235" s="587"/>
      <c r="E235" s="587"/>
      <c r="F235" s="587"/>
      <c r="G235" s="587"/>
      <c r="H235" s="587"/>
      <c r="I235" s="587"/>
      <c r="J235" s="587"/>
      <c r="K235" s="587"/>
      <c r="L235" s="588"/>
      <c r="M235" s="34"/>
    </row>
    <row r="236" spans="1:13" ht="20.25" x14ac:dyDescent="0.2">
      <c r="A236" s="32"/>
      <c r="B236" s="124"/>
      <c r="C236" s="586"/>
      <c r="D236" s="587"/>
      <c r="E236" s="587"/>
      <c r="F236" s="587"/>
      <c r="G236" s="587"/>
      <c r="H236" s="587"/>
      <c r="I236" s="587"/>
      <c r="J236" s="587"/>
      <c r="K236" s="587"/>
      <c r="L236" s="588"/>
      <c r="M236" s="34"/>
    </row>
    <row r="237" spans="1:13" ht="20.25" x14ac:dyDescent="0.2">
      <c r="A237" s="32"/>
      <c r="B237" s="124"/>
      <c r="C237" s="586"/>
      <c r="D237" s="587"/>
      <c r="E237" s="587"/>
      <c r="F237" s="587"/>
      <c r="G237" s="587"/>
      <c r="H237" s="587"/>
      <c r="I237" s="587"/>
      <c r="J237" s="587"/>
      <c r="K237" s="587"/>
      <c r="L237" s="588"/>
      <c r="M237" s="34"/>
    </row>
    <row r="238" spans="1:13" ht="20.25" x14ac:dyDescent="0.2">
      <c r="A238" s="32"/>
      <c r="B238" s="124"/>
      <c r="C238" s="586"/>
      <c r="D238" s="587"/>
      <c r="E238" s="587"/>
      <c r="F238" s="587"/>
      <c r="G238" s="587"/>
      <c r="H238" s="587"/>
      <c r="I238" s="587"/>
      <c r="J238" s="587"/>
      <c r="K238" s="587"/>
      <c r="L238" s="588"/>
      <c r="M238" s="34"/>
    </row>
    <row r="239" spans="1:13" ht="20.25" x14ac:dyDescent="0.2">
      <c r="A239" s="32"/>
      <c r="B239" s="124"/>
      <c r="C239" s="586"/>
      <c r="D239" s="587"/>
      <c r="E239" s="587"/>
      <c r="F239" s="587"/>
      <c r="G239" s="587"/>
      <c r="H239" s="587"/>
      <c r="I239" s="587"/>
      <c r="J239" s="587"/>
      <c r="K239" s="587"/>
      <c r="L239" s="588"/>
      <c r="M239" s="34"/>
    </row>
    <row r="240" spans="1:13" ht="20.25" x14ac:dyDescent="0.2">
      <c r="A240" s="32"/>
      <c r="B240" s="124"/>
      <c r="C240" s="586"/>
      <c r="D240" s="587"/>
      <c r="E240" s="587"/>
      <c r="F240" s="587"/>
      <c r="G240" s="587"/>
      <c r="H240" s="587"/>
      <c r="I240" s="587"/>
      <c r="J240" s="587"/>
      <c r="K240" s="587"/>
      <c r="L240" s="588"/>
      <c r="M240" s="34"/>
    </row>
    <row r="241" spans="1:13" ht="20.25" x14ac:dyDescent="0.2">
      <c r="A241" s="32"/>
      <c r="B241" s="124"/>
      <c r="C241" s="586"/>
      <c r="D241" s="587"/>
      <c r="E241" s="587"/>
      <c r="F241" s="587"/>
      <c r="G241" s="587"/>
      <c r="H241" s="587"/>
      <c r="I241" s="587"/>
      <c r="J241" s="587"/>
      <c r="K241" s="587"/>
      <c r="L241" s="588"/>
      <c r="M241" s="34"/>
    </row>
    <row r="242" spans="1:13" ht="20.25" x14ac:dyDescent="0.2">
      <c r="A242" s="32"/>
      <c r="B242" s="124"/>
      <c r="C242" s="586"/>
      <c r="D242" s="587"/>
      <c r="E242" s="587"/>
      <c r="F242" s="587"/>
      <c r="G242" s="587"/>
      <c r="H242" s="587"/>
      <c r="I242" s="587"/>
      <c r="J242" s="587"/>
      <c r="K242" s="587"/>
      <c r="L242" s="588"/>
      <c r="M242" s="34"/>
    </row>
    <row r="243" spans="1:13" ht="21" thickBot="1" x14ac:dyDescent="0.25">
      <c r="A243" s="32"/>
      <c r="B243" s="126"/>
      <c r="C243" s="589"/>
      <c r="D243" s="590"/>
      <c r="E243" s="590"/>
      <c r="F243" s="590"/>
      <c r="G243" s="590"/>
      <c r="H243" s="590"/>
      <c r="I243" s="590"/>
      <c r="J243" s="590"/>
      <c r="K243" s="590"/>
      <c r="L243" s="591"/>
      <c r="M243" s="34"/>
    </row>
    <row r="244" spans="1:13" ht="21" thickBot="1" x14ac:dyDescent="0.25">
      <c r="A244" s="32"/>
      <c r="B244" s="33"/>
      <c r="C244" s="33"/>
      <c r="D244" s="33"/>
      <c r="E244" s="33"/>
      <c r="F244" s="33"/>
      <c r="G244" s="33"/>
      <c r="H244" s="33"/>
      <c r="I244" s="33"/>
      <c r="J244" s="33"/>
      <c r="K244" s="33"/>
      <c r="L244" s="33"/>
      <c r="M244" s="34"/>
    </row>
    <row r="245" spans="1:13" ht="24.75" thickTop="1" thickBot="1" x14ac:dyDescent="0.25">
      <c r="A245" s="24"/>
      <c r="B245" s="25"/>
      <c r="C245" s="25"/>
      <c r="D245" s="25"/>
      <c r="E245" s="26"/>
      <c r="F245" s="27"/>
      <c r="G245" s="27"/>
      <c r="H245" s="27"/>
      <c r="I245" s="27"/>
      <c r="J245" s="25"/>
      <c r="K245" s="25"/>
      <c r="L245" s="28"/>
      <c r="M245" s="29"/>
    </row>
    <row r="246" spans="1:13" x14ac:dyDescent="0.2">
      <c r="A246" s="30"/>
      <c r="B246" s="493" t="s">
        <v>109</v>
      </c>
      <c r="C246" s="494"/>
      <c r="D246" s="494"/>
      <c r="E246" s="494"/>
      <c r="F246" s="494"/>
      <c r="G246" s="494"/>
      <c r="H246" s="494"/>
      <c r="I246" s="494"/>
      <c r="J246" s="494"/>
      <c r="K246" s="494"/>
      <c r="L246" s="495"/>
      <c r="M246" s="34"/>
    </row>
    <row r="247" spans="1:13" x14ac:dyDescent="0.2">
      <c r="A247" s="30"/>
      <c r="B247" s="496"/>
      <c r="C247" s="497"/>
      <c r="D247" s="497"/>
      <c r="E247" s="497"/>
      <c r="F247" s="497"/>
      <c r="G247" s="497"/>
      <c r="H247" s="497"/>
      <c r="I247" s="497"/>
      <c r="J247" s="497"/>
      <c r="K247" s="497"/>
      <c r="L247" s="498"/>
      <c r="M247" s="34"/>
    </row>
    <row r="248" spans="1:13" x14ac:dyDescent="0.2">
      <c r="A248" s="30"/>
      <c r="B248" s="496"/>
      <c r="C248" s="497"/>
      <c r="D248" s="497"/>
      <c r="E248" s="497"/>
      <c r="F248" s="497"/>
      <c r="G248" s="497"/>
      <c r="H248" s="497"/>
      <c r="I248" s="497"/>
      <c r="J248" s="497"/>
      <c r="K248" s="497"/>
      <c r="L248" s="498"/>
      <c r="M248" s="34"/>
    </row>
    <row r="249" spans="1:13" x14ac:dyDescent="0.2">
      <c r="A249" s="30"/>
      <c r="B249" s="496"/>
      <c r="C249" s="497"/>
      <c r="D249" s="497"/>
      <c r="E249" s="497"/>
      <c r="F249" s="497"/>
      <c r="G249" s="497"/>
      <c r="H249" s="497"/>
      <c r="I249" s="497"/>
      <c r="J249" s="497"/>
      <c r="K249" s="497"/>
      <c r="L249" s="498"/>
      <c r="M249" s="34"/>
    </row>
    <row r="250" spans="1:13" ht="21" thickBot="1" x14ac:dyDescent="0.25">
      <c r="A250" s="31"/>
      <c r="B250" s="499"/>
      <c r="C250" s="500"/>
      <c r="D250" s="500"/>
      <c r="E250" s="500"/>
      <c r="F250" s="500"/>
      <c r="G250" s="500"/>
      <c r="H250" s="500"/>
      <c r="I250" s="500"/>
      <c r="J250" s="500"/>
      <c r="K250" s="500"/>
      <c r="L250" s="501"/>
      <c r="M250" s="34"/>
    </row>
    <row r="251" spans="1:13" ht="20.25" x14ac:dyDescent="0.2">
      <c r="A251" s="32"/>
      <c r="B251" s="33"/>
      <c r="C251" s="33"/>
      <c r="D251" s="33"/>
      <c r="E251" s="33"/>
      <c r="F251" s="33"/>
      <c r="G251" s="33"/>
      <c r="H251" s="33"/>
      <c r="I251" s="33"/>
      <c r="J251" s="33"/>
      <c r="K251" s="33"/>
      <c r="L251" s="33"/>
      <c r="M251" s="34"/>
    </row>
    <row r="252" spans="1:13" ht="21" thickBot="1" x14ac:dyDescent="0.25">
      <c r="A252" s="32"/>
      <c r="B252" s="33"/>
      <c r="C252" s="33"/>
      <c r="D252" s="33"/>
      <c r="E252" s="33"/>
      <c r="F252" s="33"/>
      <c r="G252" s="33"/>
      <c r="H252" s="33"/>
      <c r="I252" s="33"/>
      <c r="J252" s="33"/>
      <c r="K252" s="33"/>
      <c r="L252" s="33"/>
      <c r="M252" s="34"/>
    </row>
    <row r="253" spans="1:13" ht="21" thickBot="1" x14ac:dyDescent="0.25">
      <c r="A253" s="32"/>
      <c r="B253" s="502" t="s">
        <v>110</v>
      </c>
      <c r="C253" s="503"/>
      <c r="D253" s="503"/>
      <c r="E253" s="503"/>
      <c r="F253" s="503"/>
      <c r="G253" s="503"/>
      <c r="H253" s="503"/>
      <c r="I253" s="503"/>
      <c r="J253" s="503"/>
      <c r="K253" s="503"/>
      <c r="L253" s="504"/>
      <c r="M253" s="34"/>
    </row>
    <row r="254" spans="1:13" ht="21" thickBot="1" x14ac:dyDescent="0.25">
      <c r="A254" s="32"/>
      <c r="B254" s="63" t="s">
        <v>10</v>
      </c>
      <c r="C254" s="502" t="s">
        <v>83</v>
      </c>
      <c r="D254" s="503"/>
      <c r="E254" s="503"/>
      <c r="F254" s="503"/>
      <c r="G254" s="503"/>
      <c r="H254" s="503"/>
      <c r="I254" s="503"/>
      <c r="J254" s="503"/>
      <c r="K254" s="503"/>
      <c r="L254" s="504"/>
      <c r="M254" s="34"/>
    </row>
    <row r="255" spans="1:13" ht="20.25" x14ac:dyDescent="0.2">
      <c r="A255" s="32"/>
      <c r="B255" s="122"/>
      <c r="C255" s="592"/>
      <c r="D255" s="593"/>
      <c r="E255" s="593"/>
      <c r="F255" s="593"/>
      <c r="G255" s="593"/>
      <c r="H255" s="593"/>
      <c r="I255" s="593"/>
      <c r="J255" s="593"/>
      <c r="K255" s="593"/>
      <c r="L255" s="594"/>
      <c r="M255" s="34"/>
    </row>
    <row r="256" spans="1:13" ht="20.25" x14ac:dyDescent="0.2">
      <c r="A256" s="32"/>
      <c r="B256" s="124"/>
      <c r="C256" s="586"/>
      <c r="D256" s="587"/>
      <c r="E256" s="587"/>
      <c r="F256" s="587"/>
      <c r="G256" s="587"/>
      <c r="H256" s="587"/>
      <c r="I256" s="587"/>
      <c r="J256" s="587"/>
      <c r="K256" s="587"/>
      <c r="L256" s="588"/>
      <c r="M256" s="34"/>
    </row>
    <row r="257" spans="1:13" ht="20.25" x14ac:dyDescent="0.2">
      <c r="A257" s="32"/>
      <c r="B257" s="124"/>
      <c r="C257" s="586"/>
      <c r="D257" s="587"/>
      <c r="E257" s="587"/>
      <c r="F257" s="587"/>
      <c r="G257" s="587"/>
      <c r="H257" s="587"/>
      <c r="I257" s="587"/>
      <c r="J257" s="587"/>
      <c r="K257" s="587"/>
      <c r="L257" s="588"/>
      <c r="M257" s="34"/>
    </row>
    <row r="258" spans="1:13" ht="20.25" x14ac:dyDescent="0.2">
      <c r="A258" s="32"/>
      <c r="B258" s="124"/>
      <c r="C258" s="586"/>
      <c r="D258" s="587"/>
      <c r="E258" s="587"/>
      <c r="F258" s="587"/>
      <c r="G258" s="587"/>
      <c r="H258" s="587"/>
      <c r="I258" s="587"/>
      <c r="J258" s="587"/>
      <c r="K258" s="587"/>
      <c r="L258" s="588"/>
      <c r="M258" s="34"/>
    </row>
    <row r="259" spans="1:13" ht="20.25" x14ac:dyDescent="0.2">
      <c r="A259" s="32"/>
      <c r="B259" s="124"/>
      <c r="C259" s="586"/>
      <c r="D259" s="587"/>
      <c r="E259" s="587"/>
      <c r="F259" s="587"/>
      <c r="G259" s="587"/>
      <c r="H259" s="587"/>
      <c r="I259" s="587"/>
      <c r="J259" s="587"/>
      <c r="K259" s="587"/>
      <c r="L259" s="588"/>
      <c r="M259" s="34"/>
    </row>
    <row r="260" spans="1:13" ht="20.25" x14ac:dyDescent="0.2">
      <c r="A260" s="32"/>
      <c r="B260" s="124"/>
      <c r="C260" s="586"/>
      <c r="D260" s="587"/>
      <c r="E260" s="587"/>
      <c r="F260" s="587"/>
      <c r="G260" s="587"/>
      <c r="H260" s="587"/>
      <c r="I260" s="587"/>
      <c r="J260" s="587"/>
      <c r="K260" s="587"/>
      <c r="L260" s="588"/>
      <c r="M260" s="34"/>
    </row>
    <row r="261" spans="1:13" ht="20.25" x14ac:dyDescent="0.2">
      <c r="A261" s="32"/>
      <c r="B261" s="124"/>
      <c r="C261" s="586"/>
      <c r="D261" s="587"/>
      <c r="E261" s="587"/>
      <c r="F261" s="587"/>
      <c r="G261" s="587"/>
      <c r="H261" s="587"/>
      <c r="I261" s="587"/>
      <c r="J261" s="587"/>
      <c r="K261" s="587"/>
      <c r="L261" s="588"/>
      <c r="M261" s="34"/>
    </row>
    <row r="262" spans="1:13" ht="20.25" x14ac:dyDescent="0.2">
      <c r="A262" s="32"/>
      <c r="B262" s="124"/>
      <c r="C262" s="586"/>
      <c r="D262" s="587"/>
      <c r="E262" s="587"/>
      <c r="F262" s="587"/>
      <c r="G262" s="587"/>
      <c r="H262" s="587"/>
      <c r="I262" s="587"/>
      <c r="J262" s="587"/>
      <c r="K262" s="587"/>
      <c r="L262" s="588"/>
      <c r="M262" s="34"/>
    </row>
    <row r="263" spans="1:13" ht="20.25" x14ac:dyDescent="0.2">
      <c r="A263" s="32"/>
      <c r="B263" s="124"/>
      <c r="C263" s="586"/>
      <c r="D263" s="587"/>
      <c r="E263" s="587"/>
      <c r="F263" s="587"/>
      <c r="G263" s="587"/>
      <c r="H263" s="587"/>
      <c r="I263" s="587"/>
      <c r="J263" s="587"/>
      <c r="K263" s="587"/>
      <c r="L263" s="588"/>
      <c r="M263" s="34"/>
    </row>
    <row r="264" spans="1:13" ht="20.25" x14ac:dyDescent="0.2">
      <c r="A264" s="32"/>
      <c r="B264" s="124"/>
      <c r="C264" s="586"/>
      <c r="D264" s="587"/>
      <c r="E264" s="587"/>
      <c r="F264" s="587"/>
      <c r="G264" s="587"/>
      <c r="H264" s="587"/>
      <c r="I264" s="587"/>
      <c r="J264" s="587"/>
      <c r="K264" s="587"/>
      <c r="L264" s="588"/>
      <c r="M264" s="34"/>
    </row>
    <row r="265" spans="1:13" ht="20.25" x14ac:dyDescent="0.2">
      <c r="A265" s="32"/>
      <c r="B265" s="124"/>
      <c r="C265" s="586"/>
      <c r="D265" s="587"/>
      <c r="E265" s="587"/>
      <c r="F265" s="587"/>
      <c r="G265" s="587"/>
      <c r="H265" s="587"/>
      <c r="I265" s="587"/>
      <c r="J265" s="587"/>
      <c r="K265" s="587"/>
      <c r="L265" s="588"/>
      <c r="M265" s="34"/>
    </row>
    <row r="266" spans="1:13" ht="20.25" x14ac:dyDescent="0.2">
      <c r="A266" s="32"/>
      <c r="B266" s="124"/>
      <c r="C266" s="586"/>
      <c r="D266" s="587"/>
      <c r="E266" s="587"/>
      <c r="F266" s="587"/>
      <c r="G266" s="587"/>
      <c r="H266" s="587"/>
      <c r="I266" s="587"/>
      <c r="J266" s="587"/>
      <c r="K266" s="587"/>
      <c r="L266" s="588"/>
      <c r="M266" s="34"/>
    </row>
    <row r="267" spans="1:13" ht="20.25" x14ac:dyDescent="0.2">
      <c r="A267" s="32"/>
      <c r="B267" s="124"/>
      <c r="C267" s="586"/>
      <c r="D267" s="587"/>
      <c r="E267" s="587"/>
      <c r="F267" s="587"/>
      <c r="G267" s="587"/>
      <c r="H267" s="587"/>
      <c r="I267" s="587"/>
      <c r="J267" s="587"/>
      <c r="K267" s="587"/>
      <c r="L267" s="588"/>
      <c r="M267" s="34"/>
    </row>
    <row r="268" spans="1:13" ht="20.25" x14ac:dyDescent="0.2">
      <c r="A268" s="32"/>
      <c r="B268" s="124"/>
      <c r="C268" s="586"/>
      <c r="D268" s="587"/>
      <c r="E268" s="587"/>
      <c r="F268" s="587"/>
      <c r="G268" s="587"/>
      <c r="H268" s="587"/>
      <c r="I268" s="587"/>
      <c r="J268" s="587"/>
      <c r="K268" s="587"/>
      <c r="L268" s="588"/>
      <c r="M268" s="34"/>
    </row>
    <row r="269" spans="1:13" ht="20.25" x14ac:dyDescent="0.2">
      <c r="A269" s="32"/>
      <c r="B269" s="124"/>
      <c r="C269" s="586"/>
      <c r="D269" s="587"/>
      <c r="E269" s="587"/>
      <c r="F269" s="587"/>
      <c r="G269" s="587"/>
      <c r="H269" s="587"/>
      <c r="I269" s="587"/>
      <c r="J269" s="587"/>
      <c r="K269" s="587"/>
      <c r="L269" s="588"/>
      <c r="M269" s="34"/>
    </row>
    <row r="270" spans="1:13" ht="20.25" x14ac:dyDescent="0.2">
      <c r="A270" s="32"/>
      <c r="B270" s="124"/>
      <c r="C270" s="586"/>
      <c r="D270" s="587"/>
      <c r="E270" s="587"/>
      <c r="F270" s="587"/>
      <c r="G270" s="587"/>
      <c r="H270" s="587"/>
      <c r="I270" s="587"/>
      <c r="J270" s="587"/>
      <c r="K270" s="587"/>
      <c r="L270" s="588"/>
      <c r="M270" s="34"/>
    </row>
    <row r="271" spans="1:13" ht="20.25" x14ac:dyDescent="0.2">
      <c r="A271" s="32"/>
      <c r="B271" s="124"/>
      <c r="C271" s="586"/>
      <c r="D271" s="587"/>
      <c r="E271" s="587"/>
      <c r="F271" s="587"/>
      <c r="G271" s="587"/>
      <c r="H271" s="587"/>
      <c r="I271" s="587"/>
      <c r="J271" s="587"/>
      <c r="K271" s="587"/>
      <c r="L271" s="588"/>
      <c r="M271" s="34"/>
    </row>
    <row r="272" spans="1:13" ht="20.25" x14ac:dyDescent="0.2">
      <c r="A272" s="32"/>
      <c r="B272" s="124"/>
      <c r="C272" s="586"/>
      <c r="D272" s="587"/>
      <c r="E272" s="587"/>
      <c r="F272" s="587"/>
      <c r="G272" s="587"/>
      <c r="H272" s="587"/>
      <c r="I272" s="587"/>
      <c r="J272" s="587"/>
      <c r="K272" s="587"/>
      <c r="L272" s="588"/>
      <c r="M272" s="34"/>
    </row>
    <row r="273" spans="1:13" ht="20.25" x14ac:dyDescent="0.2">
      <c r="A273" s="32"/>
      <c r="B273" s="124"/>
      <c r="C273" s="586"/>
      <c r="D273" s="587"/>
      <c r="E273" s="587"/>
      <c r="F273" s="587"/>
      <c r="G273" s="587"/>
      <c r="H273" s="587"/>
      <c r="I273" s="587"/>
      <c r="J273" s="587"/>
      <c r="K273" s="587"/>
      <c r="L273" s="588"/>
      <c r="M273" s="34"/>
    </row>
    <row r="274" spans="1:13" ht="20.25" x14ac:dyDescent="0.2">
      <c r="A274" s="32"/>
      <c r="B274" s="124"/>
      <c r="C274" s="586"/>
      <c r="D274" s="587"/>
      <c r="E274" s="587"/>
      <c r="F274" s="587"/>
      <c r="G274" s="587"/>
      <c r="H274" s="587"/>
      <c r="I274" s="587"/>
      <c r="J274" s="587"/>
      <c r="K274" s="587"/>
      <c r="L274" s="588"/>
      <c r="M274" s="34"/>
    </row>
    <row r="275" spans="1:13" ht="20.25" x14ac:dyDescent="0.2">
      <c r="A275" s="32"/>
      <c r="B275" s="124"/>
      <c r="C275" s="586"/>
      <c r="D275" s="587"/>
      <c r="E275" s="587"/>
      <c r="F275" s="587"/>
      <c r="G275" s="587"/>
      <c r="H275" s="587"/>
      <c r="I275" s="587"/>
      <c r="J275" s="587"/>
      <c r="K275" s="587"/>
      <c r="L275" s="588"/>
      <c r="M275" s="34"/>
    </row>
    <row r="276" spans="1:13" ht="20.25" x14ac:dyDescent="0.2">
      <c r="A276" s="32"/>
      <c r="B276" s="124"/>
      <c r="C276" s="586"/>
      <c r="D276" s="587"/>
      <c r="E276" s="587"/>
      <c r="F276" s="587"/>
      <c r="G276" s="587"/>
      <c r="H276" s="587"/>
      <c r="I276" s="587"/>
      <c r="J276" s="587"/>
      <c r="K276" s="587"/>
      <c r="L276" s="588"/>
      <c r="M276" s="34"/>
    </row>
    <row r="277" spans="1:13" ht="20.25" x14ac:dyDescent="0.2">
      <c r="A277" s="32"/>
      <c r="B277" s="124"/>
      <c r="C277" s="586"/>
      <c r="D277" s="587"/>
      <c r="E277" s="587"/>
      <c r="F277" s="587"/>
      <c r="G277" s="587"/>
      <c r="H277" s="587"/>
      <c r="I277" s="587"/>
      <c r="J277" s="587"/>
      <c r="K277" s="587"/>
      <c r="L277" s="588"/>
      <c r="M277" s="34"/>
    </row>
    <row r="278" spans="1:13" ht="20.25" x14ac:dyDescent="0.2">
      <c r="A278" s="32"/>
      <c r="B278" s="124"/>
      <c r="C278" s="586"/>
      <c r="D278" s="587"/>
      <c r="E278" s="587"/>
      <c r="F278" s="587"/>
      <c r="G278" s="587"/>
      <c r="H278" s="587"/>
      <c r="I278" s="587"/>
      <c r="J278" s="587"/>
      <c r="K278" s="587"/>
      <c r="L278" s="588"/>
      <c r="M278" s="34"/>
    </row>
    <row r="279" spans="1:13" ht="20.25" x14ac:dyDescent="0.2">
      <c r="A279" s="32"/>
      <c r="B279" s="124"/>
      <c r="C279" s="586"/>
      <c r="D279" s="587"/>
      <c r="E279" s="587"/>
      <c r="F279" s="587"/>
      <c r="G279" s="587"/>
      <c r="H279" s="587"/>
      <c r="I279" s="587"/>
      <c r="J279" s="587"/>
      <c r="K279" s="587"/>
      <c r="L279" s="588"/>
      <c r="M279" s="34"/>
    </row>
    <row r="280" spans="1:13" ht="20.25" x14ac:dyDescent="0.2">
      <c r="A280" s="32"/>
      <c r="B280" s="124"/>
      <c r="C280" s="586"/>
      <c r="D280" s="587"/>
      <c r="E280" s="587"/>
      <c r="F280" s="587"/>
      <c r="G280" s="587"/>
      <c r="H280" s="587"/>
      <c r="I280" s="587"/>
      <c r="J280" s="587"/>
      <c r="K280" s="587"/>
      <c r="L280" s="588"/>
      <c r="M280" s="34"/>
    </row>
    <row r="281" spans="1:13" ht="20.25" x14ac:dyDescent="0.2">
      <c r="A281" s="32"/>
      <c r="B281" s="124"/>
      <c r="C281" s="586"/>
      <c r="D281" s="587"/>
      <c r="E281" s="587"/>
      <c r="F281" s="587"/>
      <c r="G281" s="587"/>
      <c r="H281" s="587"/>
      <c r="I281" s="587"/>
      <c r="J281" s="587"/>
      <c r="K281" s="587"/>
      <c r="L281" s="588"/>
      <c r="M281" s="34"/>
    </row>
    <row r="282" spans="1:13" ht="20.25" x14ac:dyDescent="0.2">
      <c r="A282" s="32"/>
      <c r="B282" s="124"/>
      <c r="C282" s="586"/>
      <c r="D282" s="587"/>
      <c r="E282" s="587"/>
      <c r="F282" s="587"/>
      <c r="G282" s="587"/>
      <c r="H282" s="587"/>
      <c r="I282" s="587"/>
      <c r="J282" s="587"/>
      <c r="K282" s="587"/>
      <c r="L282" s="588"/>
      <c r="M282" s="34"/>
    </row>
    <row r="283" spans="1:13" ht="20.25" x14ac:dyDescent="0.2">
      <c r="A283" s="32"/>
      <c r="B283" s="124"/>
      <c r="C283" s="586"/>
      <c r="D283" s="587"/>
      <c r="E283" s="587"/>
      <c r="F283" s="587"/>
      <c r="G283" s="587"/>
      <c r="H283" s="587"/>
      <c r="I283" s="587"/>
      <c r="J283" s="587"/>
      <c r="K283" s="587"/>
      <c r="L283" s="588"/>
      <c r="M283" s="34"/>
    </row>
    <row r="284" spans="1:13" ht="20.25" x14ac:dyDescent="0.2">
      <c r="A284" s="32"/>
      <c r="B284" s="124"/>
      <c r="C284" s="586"/>
      <c r="D284" s="587"/>
      <c r="E284" s="587"/>
      <c r="F284" s="587"/>
      <c r="G284" s="587"/>
      <c r="H284" s="587"/>
      <c r="I284" s="587"/>
      <c r="J284" s="587"/>
      <c r="K284" s="587"/>
      <c r="L284" s="588"/>
      <c r="M284" s="34"/>
    </row>
    <row r="285" spans="1:13" ht="20.25" x14ac:dyDescent="0.2">
      <c r="A285" s="32"/>
      <c r="B285" s="124"/>
      <c r="C285" s="586"/>
      <c r="D285" s="587"/>
      <c r="E285" s="587"/>
      <c r="F285" s="587"/>
      <c r="G285" s="587"/>
      <c r="H285" s="587"/>
      <c r="I285" s="587"/>
      <c r="J285" s="587"/>
      <c r="K285" s="587"/>
      <c r="L285" s="588"/>
      <c r="M285" s="34"/>
    </row>
    <row r="286" spans="1:13" ht="20.25" x14ac:dyDescent="0.2">
      <c r="A286" s="32"/>
      <c r="B286" s="124"/>
      <c r="C286" s="586"/>
      <c r="D286" s="587"/>
      <c r="E286" s="587"/>
      <c r="F286" s="587"/>
      <c r="G286" s="587"/>
      <c r="H286" s="587"/>
      <c r="I286" s="587"/>
      <c r="J286" s="587"/>
      <c r="K286" s="587"/>
      <c r="L286" s="588"/>
      <c r="M286" s="34"/>
    </row>
    <row r="287" spans="1:13" ht="20.25" x14ac:dyDescent="0.2">
      <c r="A287" s="32"/>
      <c r="B287" s="124"/>
      <c r="C287" s="586"/>
      <c r="D287" s="587"/>
      <c r="E287" s="587"/>
      <c r="F287" s="587"/>
      <c r="G287" s="587"/>
      <c r="H287" s="587"/>
      <c r="I287" s="587"/>
      <c r="J287" s="587"/>
      <c r="K287" s="587"/>
      <c r="L287" s="588"/>
      <c r="M287" s="34"/>
    </row>
    <row r="288" spans="1:13" ht="20.25" x14ac:dyDescent="0.2">
      <c r="A288" s="32"/>
      <c r="B288" s="124"/>
      <c r="C288" s="586"/>
      <c r="D288" s="587"/>
      <c r="E288" s="587"/>
      <c r="F288" s="587"/>
      <c r="G288" s="587"/>
      <c r="H288" s="587"/>
      <c r="I288" s="587"/>
      <c r="J288" s="587"/>
      <c r="K288" s="587"/>
      <c r="L288" s="588"/>
      <c r="M288" s="34"/>
    </row>
    <row r="289" spans="1:13" ht="20.25" x14ac:dyDescent="0.2">
      <c r="A289" s="32"/>
      <c r="B289" s="124"/>
      <c r="C289" s="586"/>
      <c r="D289" s="587"/>
      <c r="E289" s="587"/>
      <c r="F289" s="587"/>
      <c r="G289" s="587"/>
      <c r="H289" s="587"/>
      <c r="I289" s="587"/>
      <c r="J289" s="587"/>
      <c r="K289" s="587"/>
      <c r="L289" s="588"/>
      <c r="M289" s="34"/>
    </row>
    <row r="290" spans="1:13" ht="20.25" x14ac:dyDescent="0.2">
      <c r="A290" s="32"/>
      <c r="B290" s="124"/>
      <c r="C290" s="586"/>
      <c r="D290" s="587"/>
      <c r="E290" s="587"/>
      <c r="F290" s="587"/>
      <c r="G290" s="587"/>
      <c r="H290" s="587"/>
      <c r="I290" s="587"/>
      <c r="J290" s="587"/>
      <c r="K290" s="587"/>
      <c r="L290" s="588"/>
      <c r="M290" s="34"/>
    </row>
    <row r="291" spans="1:13" ht="20.25" x14ac:dyDescent="0.2">
      <c r="A291" s="32"/>
      <c r="B291" s="124"/>
      <c r="C291" s="586"/>
      <c r="D291" s="587"/>
      <c r="E291" s="587"/>
      <c r="F291" s="587"/>
      <c r="G291" s="587"/>
      <c r="H291" s="587"/>
      <c r="I291" s="587"/>
      <c r="J291" s="587"/>
      <c r="K291" s="587"/>
      <c r="L291" s="588"/>
      <c r="M291" s="34"/>
    </row>
    <row r="292" spans="1:13" ht="20.25" x14ac:dyDescent="0.2">
      <c r="A292" s="32"/>
      <c r="B292" s="124"/>
      <c r="C292" s="586"/>
      <c r="D292" s="587"/>
      <c r="E292" s="587"/>
      <c r="F292" s="587"/>
      <c r="G292" s="587"/>
      <c r="H292" s="587"/>
      <c r="I292" s="587"/>
      <c r="J292" s="587"/>
      <c r="K292" s="587"/>
      <c r="L292" s="588"/>
      <c r="M292" s="34"/>
    </row>
    <row r="293" spans="1:13" ht="20.25" x14ac:dyDescent="0.2">
      <c r="A293" s="32"/>
      <c r="B293" s="124"/>
      <c r="C293" s="586"/>
      <c r="D293" s="587"/>
      <c r="E293" s="587"/>
      <c r="F293" s="587"/>
      <c r="G293" s="587"/>
      <c r="H293" s="587"/>
      <c r="I293" s="587"/>
      <c r="J293" s="587"/>
      <c r="K293" s="587"/>
      <c r="L293" s="588"/>
      <c r="M293" s="34"/>
    </row>
    <row r="294" spans="1:13" ht="20.25" x14ac:dyDescent="0.2">
      <c r="A294" s="32"/>
      <c r="B294" s="124"/>
      <c r="C294" s="586"/>
      <c r="D294" s="587"/>
      <c r="E294" s="587"/>
      <c r="F294" s="587"/>
      <c r="G294" s="587"/>
      <c r="H294" s="587"/>
      <c r="I294" s="587"/>
      <c r="J294" s="587"/>
      <c r="K294" s="587"/>
      <c r="L294" s="588"/>
      <c r="M294" s="34"/>
    </row>
    <row r="295" spans="1:13" ht="20.25" x14ac:dyDescent="0.2">
      <c r="A295" s="32"/>
      <c r="B295" s="124"/>
      <c r="C295" s="586"/>
      <c r="D295" s="587"/>
      <c r="E295" s="587"/>
      <c r="F295" s="587"/>
      <c r="G295" s="587"/>
      <c r="H295" s="587"/>
      <c r="I295" s="587"/>
      <c r="J295" s="587"/>
      <c r="K295" s="587"/>
      <c r="L295" s="588"/>
      <c r="M295" s="34"/>
    </row>
    <row r="296" spans="1:13" ht="20.25" x14ac:dyDescent="0.2">
      <c r="A296" s="32"/>
      <c r="B296" s="124"/>
      <c r="C296" s="586"/>
      <c r="D296" s="587"/>
      <c r="E296" s="587"/>
      <c r="F296" s="587"/>
      <c r="G296" s="587"/>
      <c r="H296" s="587"/>
      <c r="I296" s="587"/>
      <c r="J296" s="587"/>
      <c r="K296" s="587"/>
      <c r="L296" s="588"/>
      <c r="M296" s="34"/>
    </row>
    <row r="297" spans="1:13" ht="20.25" x14ac:dyDescent="0.2">
      <c r="A297" s="32"/>
      <c r="B297" s="124"/>
      <c r="C297" s="586"/>
      <c r="D297" s="587"/>
      <c r="E297" s="587"/>
      <c r="F297" s="587"/>
      <c r="G297" s="587"/>
      <c r="H297" s="587"/>
      <c r="I297" s="587"/>
      <c r="J297" s="587"/>
      <c r="K297" s="587"/>
      <c r="L297" s="588"/>
      <c r="M297" s="34"/>
    </row>
    <row r="298" spans="1:13" ht="20.25" x14ac:dyDescent="0.2">
      <c r="A298" s="32"/>
      <c r="B298" s="124"/>
      <c r="C298" s="586"/>
      <c r="D298" s="587"/>
      <c r="E298" s="587"/>
      <c r="F298" s="587"/>
      <c r="G298" s="587"/>
      <c r="H298" s="587"/>
      <c r="I298" s="587"/>
      <c r="J298" s="587"/>
      <c r="K298" s="587"/>
      <c r="L298" s="588"/>
      <c r="M298" s="34"/>
    </row>
    <row r="299" spans="1:13" ht="20.25" x14ac:dyDescent="0.2">
      <c r="A299" s="32"/>
      <c r="B299" s="124"/>
      <c r="C299" s="586"/>
      <c r="D299" s="587"/>
      <c r="E299" s="587"/>
      <c r="F299" s="587"/>
      <c r="G299" s="587"/>
      <c r="H299" s="587"/>
      <c r="I299" s="587"/>
      <c r="J299" s="587"/>
      <c r="K299" s="587"/>
      <c r="L299" s="588"/>
      <c r="M299" s="34"/>
    </row>
    <row r="300" spans="1:13" ht="20.25" x14ac:dyDescent="0.2">
      <c r="A300" s="32"/>
      <c r="B300" s="124"/>
      <c r="C300" s="586"/>
      <c r="D300" s="587"/>
      <c r="E300" s="587"/>
      <c r="F300" s="587"/>
      <c r="G300" s="587"/>
      <c r="H300" s="587"/>
      <c r="I300" s="587"/>
      <c r="J300" s="587"/>
      <c r="K300" s="587"/>
      <c r="L300" s="588"/>
      <c r="M300" s="34"/>
    </row>
    <row r="301" spans="1:13" ht="20.25" x14ac:dyDescent="0.2">
      <c r="A301" s="32"/>
      <c r="B301" s="124"/>
      <c r="C301" s="586"/>
      <c r="D301" s="587"/>
      <c r="E301" s="587"/>
      <c r="F301" s="587"/>
      <c r="G301" s="587"/>
      <c r="H301" s="587"/>
      <c r="I301" s="587"/>
      <c r="J301" s="587"/>
      <c r="K301" s="587"/>
      <c r="L301" s="588"/>
      <c r="M301" s="34"/>
    </row>
    <row r="302" spans="1:13" ht="20.25" x14ac:dyDescent="0.2">
      <c r="A302" s="32"/>
      <c r="B302" s="124"/>
      <c r="C302" s="586"/>
      <c r="D302" s="587"/>
      <c r="E302" s="587"/>
      <c r="F302" s="587"/>
      <c r="G302" s="587"/>
      <c r="H302" s="587"/>
      <c r="I302" s="587"/>
      <c r="J302" s="587"/>
      <c r="K302" s="587"/>
      <c r="L302" s="588"/>
      <c r="M302" s="34"/>
    </row>
    <row r="303" spans="1:13" ht="20.25" x14ac:dyDescent="0.2">
      <c r="A303" s="32"/>
      <c r="B303" s="124"/>
      <c r="C303" s="586"/>
      <c r="D303" s="587"/>
      <c r="E303" s="587"/>
      <c r="F303" s="587"/>
      <c r="G303" s="587"/>
      <c r="H303" s="587"/>
      <c r="I303" s="587"/>
      <c r="J303" s="587"/>
      <c r="K303" s="587"/>
      <c r="L303" s="588"/>
      <c r="M303" s="34"/>
    </row>
    <row r="304" spans="1:13" ht="21" thickBot="1" x14ac:dyDescent="0.25">
      <c r="A304" s="32"/>
      <c r="B304" s="126"/>
      <c r="C304" s="589"/>
      <c r="D304" s="590"/>
      <c r="E304" s="590"/>
      <c r="F304" s="590"/>
      <c r="G304" s="590"/>
      <c r="H304" s="590"/>
      <c r="I304" s="590"/>
      <c r="J304" s="590"/>
      <c r="K304" s="590"/>
      <c r="L304" s="591"/>
      <c r="M304" s="34"/>
    </row>
    <row r="305" spans="1:13" ht="21" thickBot="1" x14ac:dyDescent="0.25">
      <c r="A305" s="32"/>
      <c r="B305" s="33"/>
      <c r="C305" s="33"/>
      <c r="D305" s="33"/>
      <c r="E305" s="33"/>
      <c r="F305" s="33"/>
      <c r="G305" s="33"/>
      <c r="H305" s="33"/>
      <c r="I305" s="33"/>
      <c r="J305" s="33"/>
      <c r="K305" s="33"/>
      <c r="L305" s="33"/>
      <c r="M305" s="34"/>
    </row>
    <row r="306" spans="1:13" ht="24.75" thickTop="1" thickBot="1" x14ac:dyDescent="0.25">
      <c r="A306" s="24"/>
      <c r="B306" s="25"/>
      <c r="C306" s="25"/>
      <c r="D306" s="25"/>
      <c r="E306" s="26"/>
      <c r="F306" s="27"/>
      <c r="G306" s="27"/>
      <c r="H306" s="27"/>
      <c r="I306" s="27"/>
      <c r="J306" s="25"/>
      <c r="K306" s="25"/>
      <c r="L306" s="28"/>
      <c r="M306" s="29"/>
    </row>
    <row r="307" spans="1:13" x14ac:dyDescent="0.2">
      <c r="A307" s="30"/>
      <c r="B307" s="493" t="s">
        <v>109</v>
      </c>
      <c r="C307" s="494"/>
      <c r="D307" s="494"/>
      <c r="E307" s="494"/>
      <c r="F307" s="494"/>
      <c r="G307" s="494"/>
      <c r="H307" s="494"/>
      <c r="I307" s="494"/>
      <c r="J307" s="494"/>
      <c r="K307" s="494"/>
      <c r="L307" s="495"/>
      <c r="M307" s="34"/>
    </row>
    <row r="308" spans="1:13" x14ac:dyDescent="0.2">
      <c r="A308" s="30"/>
      <c r="B308" s="496"/>
      <c r="C308" s="497"/>
      <c r="D308" s="497"/>
      <c r="E308" s="497"/>
      <c r="F308" s="497"/>
      <c r="G308" s="497"/>
      <c r="H308" s="497"/>
      <c r="I308" s="497"/>
      <c r="J308" s="497"/>
      <c r="K308" s="497"/>
      <c r="L308" s="498"/>
      <c r="M308" s="34"/>
    </row>
    <row r="309" spans="1:13" x14ac:dyDescent="0.2">
      <c r="A309" s="30"/>
      <c r="B309" s="496"/>
      <c r="C309" s="497"/>
      <c r="D309" s="497"/>
      <c r="E309" s="497"/>
      <c r="F309" s="497"/>
      <c r="G309" s="497"/>
      <c r="H309" s="497"/>
      <c r="I309" s="497"/>
      <c r="J309" s="497"/>
      <c r="K309" s="497"/>
      <c r="L309" s="498"/>
      <c r="M309" s="34"/>
    </row>
    <row r="310" spans="1:13" x14ac:dyDescent="0.2">
      <c r="A310" s="30"/>
      <c r="B310" s="496"/>
      <c r="C310" s="497"/>
      <c r="D310" s="497"/>
      <c r="E310" s="497"/>
      <c r="F310" s="497"/>
      <c r="G310" s="497"/>
      <c r="H310" s="497"/>
      <c r="I310" s="497"/>
      <c r="J310" s="497"/>
      <c r="K310" s="497"/>
      <c r="L310" s="498"/>
      <c r="M310" s="34"/>
    </row>
    <row r="311" spans="1:13" ht="21" thickBot="1" x14ac:dyDescent="0.25">
      <c r="A311" s="31"/>
      <c r="B311" s="499"/>
      <c r="C311" s="500"/>
      <c r="D311" s="500"/>
      <c r="E311" s="500"/>
      <c r="F311" s="500"/>
      <c r="G311" s="500"/>
      <c r="H311" s="500"/>
      <c r="I311" s="500"/>
      <c r="J311" s="500"/>
      <c r="K311" s="500"/>
      <c r="L311" s="501"/>
      <c r="M311" s="34"/>
    </row>
    <row r="312" spans="1:13" ht="20.25" x14ac:dyDescent="0.2">
      <c r="A312" s="32"/>
      <c r="B312" s="33"/>
      <c r="C312" s="33"/>
      <c r="D312" s="33"/>
      <c r="E312" s="33"/>
      <c r="F312" s="33"/>
      <c r="G312" s="33"/>
      <c r="H312" s="33"/>
      <c r="I312" s="33"/>
      <c r="J312" s="33"/>
      <c r="K312" s="33"/>
      <c r="L312" s="33"/>
      <c r="M312" s="34"/>
    </row>
    <row r="313" spans="1:13" ht="21" thickBot="1" x14ac:dyDescent="0.25">
      <c r="A313" s="32"/>
      <c r="B313" s="33"/>
      <c r="C313" s="33"/>
      <c r="D313" s="33"/>
      <c r="E313" s="33"/>
      <c r="F313" s="33"/>
      <c r="G313" s="33"/>
      <c r="H313" s="33"/>
      <c r="I313" s="33"/>
      <c r="J313" s="33"/>
      <c r="K313" s="33"/>
      <c r="L313" s="33"/>
      <c r="M313" s="34"/>
    </row>
    <row r="314" spans="1:13" ht="21" thickBot="1" x14ac:dyDescent="0.25">
      <c r="A314" s="32"/>
      <c r="B314" s="502" t="s">
        <v>110</v>
      </c>
      <c r="C314" s="503"/>
      <c r="D314" s="503"/>
      <c r="E314" s="503"/>
      <c r="F314" s="503"/>
      <c r="G314" s="503"/>
      <c r="H314" s="503"/>
      <c r="I314" s="503"/>
      <c r="J314" s="503"/>
      <c r="K314" s="503"/>
      <c r="L314" s="504"/>
      <c r="M314" s="34"/>
    </row>
    <row r="315" spans="1:13" ht="21" thickBot="1" x14ac:dyDescent="0.25">
      <c r="A315" s="32"/>
      <c r="B315" s="63" t="s">
        <v>10</v>
      </c>
      <c r="C315" s="502" t="s">
        <v>83</v>
      </c>
      <c r="D315" s="503"/>
      <c r="E315" s="503"/>
      <c r="F315" s="503"/>
      <c r="G315" s="503"/>
      <c r="H315" s="503"/>
      <c r="I315" s="503"/>
      <c r="J315" s="503"/>
      <c r="K315" s="503"/>
      <c r="L315" s="504"/>
      <c r="M315" s="34"/>
    </row>
    <row r="316" spans="1:13" ht="20.25" x14ac:dyDescent="0.2">
      <c r="A316" s="32"/>
      <c r="B316" s="122"/>
      <c r="C316" s="592"/>
      <c r="D316" s="593"/>
      <c r="E316" s="593"/>
      <c r="F316" s="593"/>
      <c r="G316" s="593"/>
      <c r="H316" s="593"/>
      <c r="I316" s="593"/>
      <c r="J316" s="593"/>
      <c r="K316" s="593"/>
      <c r="L316" s="594"/>
      <c r="M316" s="34"/>
    </row>
    <row r="317" spans="1:13" ht="20.25" x14ac:dyDescent="0.2">
      <c r="A317" s="32"/>
      <c r="B317" s="124"/>
      <c r="C317" s="586"/>
      <c r="D317" s="587"/>
      <c r="E317" s="587"/>
      <c r="F317" s="587"/>
      <c r="G317" s="587"/>
      <c r="H317" s="587"/>
      <c r="I317" s="587"/>
      <c r="J317" s="587"/>
      <c r="K317" s="587"/>
      <c r="L317" s="588"/>
      <c r="M317" s="34"/>
    </row>
    <row r="318" spans="1:13" ht="20.25" x14ac:dyDescent="0.2">
      <c r="A318" s="32"/>
      <c r="B318" s="124"/>
      <c r="C318" s="586"/>
      <c r="D318" s="587"/>
      <c r="E318" s="587"/>
      <c r="F318" s="587"/>
      <c r="G318" s="587"/>
      <c r="H318" s="587"/>
      <c r="I318" s="587"/>
      <c r="J318" s="587"/>
      <c r="K318" s="587"/>
      <c r="L318" s="588"/>
      <c r="M318" s="34"/>
    </row>
    <row r="319" spans="1:13" ht="20.25" x14ac:dyDescent="0.2">
      <c r="A319" s="32"/>
      <c r="B319" s="124"/>
      <c r="C319" s="586"/>
      <c r="D319" s="587"/>
      <c r="E319" s="587"/>
      <c r="F319" s="587"/>
      <c r="G319" s="587"/>
      <c r="H319" s="587"/>
      <c r="I319" s="587"/>
      <c r="J319" s="587"/>
      <c r="K319" s="587"/>
      <c r="L319" s="588"/>
      <c r="M319" s="34"/>
    </row>
    <row r="320" spans="1:13" ht="20.25" x14ac:dyDescent="0.2">
      <c r="A320" s="32"/>
      <c r="B320" s="124"/>
      <c r="C320" s="586"/>
      <c r="D320" s="587"/>
      <c r="E320" s="587"/>
      <c r="F320" s="587"/>
      <c r="G320" s="587"/>
      <c r="H320" s="587"/>
      <c r="I320" s="587"/>
      <c r="J320" s="587"/>
      <c r="K320" s="587"/>
      <c r="L320" s="588"/>
      <c r="M320" s="34"/>
    </row>
    <row r="321" spans="1:13" ht="20.25" x14ac:dyDescent="0.2">
      <c r="A321" s="32"/>
      <c r="B321" s="124"/>
      <c r="C321" s="586"/>
      <c r="D321" s="587"/>
      <c r="E321" s="587"/>
      <c r="F321" s="587"/>
      <c r="G321" s="587"/>
      <c r="H321" s="587"/>
      <c r="I321" s="587"/>
      <c r="J321" s="587"/>
      <c r="K321" s="587"/>
      <c r="L321" s="588"/>
      <c r="M321" s="34"/>
    </row>
    <row r="322" spans="1:13" ht="20.25" x14ac:dyDescent="0.2">
      <c r="A322" s="32"/>
      <c r="B322" s="124"/>
      <c r="C322" s="586"/>
      <c r="D322" s="587"/>
      <c r="E322" s="587"/>
      <c r="F322" s="587"/>
      <c r="G322" s="587"/>
      <c r="H322" s="587"/>
      <c r="I322" s="587"/>
      <c r="J322" s="587"/>
      <c r="K322" s="587"/>
      <c r="L322" s="588"/>
      <c r="M322" s="34"/>
    </row>
    <row r="323" spans="1:13" ht="20.25" x14ac:dyDescent="0.2">
      <c r="A323" s="32"/>
      <c r="B323" s="124"/>
      <c r="C323" s="586"/>
      <c r="D323" s="587"/>
      <c r="E323" s="587"/>
      <c r="F323" s="587"/>
      <c r="G323" s="587"/>
      <c r="H323" s="587"/>
      <c r="I323" s="587"/>
      <c r="J323" s="587"/>
      <c r="K323" s="587"/>
      <c r="L323" s="588"/>
      <c r="M323" s="34"/>
    </row>
    <row r="324" spans="1:13" ht="20.25" x14ac:dyDescent="0.2">
      <c r="A324" s="32"/>
      <c r="B324" s="124"/>
      <c r="C324" s="586"/>
      <c r="D324" s="587"/>
      <c r="E324" s="587"/>
      <c r="F324" s="587"/>
      <c r="G324" s="587"/>
      <c r="H324" s="587"/>
      <c r="I324" s="587"/>
      <c r="J324" s="587"/>
      <c r="K324" s="587"/>
      <c r="L324" s="588"/>
      <c r="M324" s="34"/>
    </row>
    <row r="325" spans="1:13" ht="20.25" x14ac:dyDescent="0.2">
      <c r="A325" s="32"/>
      <c r="B325" s="124"/>
      <c r="C325" s="586"/>
      <c r="D325" s="587"/>
      <c r="E325" s="587"/>
      <c r="F325" s="587"/>
      <c r="G325" s="587"/>
      <c r="H325" s="587"/>
      <c r="I325" s="587"/>
      <c r="J325" s="587"/>
      <c r="K325" s="587"/>
      <c r="L325" s="588"/>
      <c r="M325" s="34"/>
    </row>
    <row r="326" spans="1:13" ht="20.25" x14ac:dyDescent="0.2">
      <c r="A326" s="32"/>
      <c r="B326" s="124"/>
      <c r="C326" s="586"/>
      <c r="D326" s="587"/>
      <c r="E326" s="587"/>
      <c r="F326" s="587"/>
      <c r="G326" s="587"/>
      <c r="H326" s="587"/>
      <c r="I326" s="587"/>
      <c r="J326" s="587"/>
      <c r="K326" s="587"/>
      <c r="L326" s="588"/>
      <c r="M326" s="34"/>
    </row>
    <row r="327" spans="1:13" ht="20.25" x14ac:dyDescent="0.2">
      <c r="A327" s="32"/>
      <c r="B327" s="124"/>
      <c r="C327" s="586"/>
      <c r="D327" s="587"/>
      <c r="E327" s="587"/>
      <c r="F327" s="587"/>
      <c r="G327" s="587"/>
      <c r="H327" s="587"/>
      <c r="I327" s="587"/>
      <c r="J327" s="587"/>
      <c r="K327" s="587"/>
      <c r="L327" s="588"/>
      <c r="M327" s="34"/>
    </row>
    <row r="328" spans="1:13" ht="20.25" x14ac:dyDescent="0.2">
      <c r="A328" s="32"/>
      <c r="B328" s="124"/>
      <c r="C328" s="586"/>
      <c r="D328" s="587"/>
      <c r="E328" s="587"/>
      <c r="F328" s="587"/>
      <c r="G328" s="587"/>
      <c r="H328" s="587"/>
      <c r="I328" s="587"/>
      <c r="J328" s="587"/>
      <c r="K328" s="587"/>
      <c r="L328" s="588"/>
      <c r="M328" s="34"/>
    </row>
    <row r="329" spans="1:13" ht="20.25" x14ac:dyDescent="0.2">
      <c r="A329" s="32"/>
      <c r="B329" s="124"/>
      <c r="C329" s="586"/>
      <c r="D329" s="587"/>
      <c r="E329" s="587"/>
      <c r="F329" s="587"/>
      <c r="G329" s="587"/>
      <c r="H329" s="587"/>
      <c r="I329" s="587"/>
      <c r="J329" s="587"/>
      <c r="K329" s="587"/>
      <c r="L329" s="588"/>
      <c r="M329" s="34"/>
    </row>
    <row r="330" spans="1:13" ht="20.25" x14ac:dyDescent="0.2">
      <c r="A330" s="32"/>
      <c r="B330" s="124"/>
      <c r="C330" s="586"/>
      <c r="D330" s="587"/>
      <c r="E330" s="587"/>
      <c r="F330" s="587"/>
      <c r="G330" s="587"/>
      <c r="H330" s="587"/>
      <c r="I330" s="587"/>
      <c r="J330" s="587"/>
      <c r="K330" s="587"/>
      <c r="L330" s="588"/>
      <c r="M330" s="34"/>
    </row>
    <row r="331" spans="1:13" ht="20.25" x14ac:dyDescent="0.2">
      <c r="A331" s="32"/>
      <c r="B331" s="124"/>
      <c r="C331" s="586"/>
      <c r="D331" s="587"/>
      <c r="E331" s="587"/>
      <c r="F331" s="587"/>
      <c r="G331" s="587"/>
      <c r="H331" s="587"/>
      <c r="I331" s="587"/>
      <c r="J331" s="587"/>
      <c r="K331" s="587"/>
      <c r="L331" s="588"/>
      <c r="M331" s="34"/>
    </row>
    <row r="332" spans="1:13" ht="20.25" x14ac:dyDescent="0.2">
      <c r="A332" s="32"/>
      <c r="B332" s="124"/>
      <c r="C332" s="586"/>
      <c r="D332" s="587"/>
      <c r="E332" s="587"/>
      <c r="F332" s="587"/>
      <c r="G332" s="587"/>
      <c r="H332" s="587"/>
      <c r="I332" s="587"/>
      <c r="J332" s="587"/>
      <c r="K332" s="587"/>
      <c r="L332" s="588"/>
      <c r="M332" s="34"/>
    </row>
    <row r="333" spans="1:13" ht="20.25" x14ac:dyDescent="0.2">
      <c r="A333" s="32"/>
      <c r="B333" s="124"/>
      <c r="C333" s="586"/>
      <c r="D333" s="587"/>
      <c r="E333" s="587"/>
      <c r="F333" s="587"/>
      <c r="G333" s="587"/>
      <c r="H333" s="587"/>
      <c r="I333" s="587"/>
      <c r="J333" s="587"/>
      <c r="K333" s="587"/>
      <c r="L333" s="588"/>
      <c r="M333" s="34"/>
    </row>
    <row r="334" spans="1:13" ht="20.25" x14ac:dyDescent="0.2">
      <c r="A334" s="32"/>
      <c r="B334" s="124"/>
      <c r="C334" s="586"/>
      <c r="D334" s="587"/>
      <c r="E334" s="587"/>
      <c r="F334" s="587"/>
      <c r="G334" s="587"/>
      <c r="H334" s="587"/>
      <c r="I334" s="587"/>
      <c r="J334" s="587"/>
      <c r="K334" s="587"/>
      <c r="L334" s="588"/>
      <c r="M334" s="34"/>
    </row>
    <row r="335" spans="1:13" ht="20.25" x14ac:dyDescent="0.2">
      <c r="A335" s="32"/>
      <c r="B335" s="124"/>
      <c r="C335" s="586"/>
      <c r="D335" s="587"/>
      <c r="E335" s="587"/>
      <c r="F335" s="587"/>
      <c r="G335" s="587"/>
      <c r="H335" s="587"/>
      <c r="I335" s="587"/>
      <c r="J335" s="587"/>
      <c r="K335" s="587"/>
      <c r="L335" s="588"/>
      <c r="M335" s="34"/>
    </row>
    <row r="336" spans="1:13" ht="20.25" x14ac:dyDescent="0.2">
      <c r="A336" s="32"/>
      <c r="B336" s="124"/>
      <c r="C336" s="586"/>
      <c r="D336" s="587"/>
      <c r="E336" s="587"/>
      <c r="F336" s="587"/>
      <c r="G336" s="587"/>
      <c r="H336" s="587"/>
      <c r="I336" s="587"/>
      <c r="J336" s="587"/>
      <c r="K336" s="587"/>
      <c r="L336" s="588"/>
      <c r="M336" s="34"/>
    </row>
    <row r="337" spans="1:13" ht="20.25" x14ac:dyDescent="0.2">
      <c r="A337" s="32"/>
      <c r="B337" s="124"/>
      <c r="C337" s="586"/>
      <c r="D337" s="587"/>
      <c r="E337" s="587"/>
      <c r="F337" s="587"/>
      <c r="G337" s="587"/>
      <c r="H337" s="587"/>
      <c r="I337" s="587"/>
      <c r="J337" s="587"/>
      <c r="K337" s="587"/>
      <c r="L337" s="588"/>
      <c r="M337" s="34"/>
    </row>
    <row r="338" spans="1:13" ht="20.25" x14ac:dyDescent="0.2">
      <c r="A338" s="32"/>
      <c r="B338" s="124"/>
      <c r="C338" s="586"/>
      <c r="D338" s="587"/>
      <c r="E338" s="587"/>
      <c r="F338" s="587"/>
      <c r="G338" s="587"/>
      <c r="H338" s="587"/>
      <c r="I338" s="587"/>
      <c r="J338" s="587"/>
      <c r="K338" s="587"/>
      <c r="L338" s="588"/>
      <c r="M338" s="34"/>
    </row>
    <row r="339" spans="1:13" ht="20.25" x14ac:dyDescent="0.2">
      <c r="A339" s="32"/>
      <c r="B339" s="124"/>
      <c r="C339" s="586"/>
      <c r="D339" s="587"/>
      <c r="E339" s="587"/>
      <c r="F339" s="587"/>
      <c r="G339" s="587"/>
      <c r="H339" s="587"/>
      <c r="I339" s="587"/>
      <c r="J339" s="587"/>
      <c r="K339" s="587"/>
      <c r="L339" s="588"/>
      <c r="M339" s="34"/>
    </row>
    <row r="340" spans="1:13" ht="20.25" x14ac:dyDescent="0.2">
      <c r="A340" s="32"/>
      <c r="B340" s="124"/>
      <c r="C340" s="586"/>
      <c r="D340" s="587"/>
      <c r="E340" s="587"/>
      <c r="F340" s="587"/>
      <c r="G340" s="587"/>
      <c r="H340" s="587"/>
      <c r="I340" s="587"/>
      <c r="J340" s="587"/>
      <c r="K340" s="587"/>
      <c r="L340" s="588"/>
      <c r="M340" s="34"/>
    </row>
    <row r="341" spans="1:13" ht="20.25" x14ac:dyDescent="0.2">
      <c r="A341" s="32"/>
      <c r="B341" s="124"/>
      <c r="C341" s="586"/>
      <c r="D341" s="587"/>
      <c r="E341" s="587"/>
      <c r="F341" s="587"/>
      <c r="G341" s="587"/>
      <c r="H341" s="587"/>
      <c r="I341" s="587"/>
      <c r="J341" s="587"/>
      <c r="K341" s="587"/>
      <c r="L341" s="588"/>
      <c r="M341" s="34"/>
    </row>
    <row r="342" spans="1:13" ht="20.25" x14ac:dyDescent="0.2">
      <c r="A342" s="32"/>
      <c r="B342" s="124"/>
      <c r="C342" s="586"/>
      <c r="D342" s="587"/>
      <c r="E342" s="587"/>
      <c r="F342" s="587"/>
      <c r="G342" s="587"/>
      <c r="H342" s="587"/>
      <c r="I342" s="587"/>
      <c r="J342" s="587"/>
      <c r="K342" s="587"/>
      <c r="L342" s="588"/>
      <c r="M342" s="34"/>
    </row>
    <row r="343" spans="1:13" ht="20.25" x14ac:dyDescent="0.2">
      <c r="A343" s="32"/>
      <c r="B343" s="124"/>
      <c r="C343" s="586"/>
      <c r="D343" s="587"/>
      <c r="E343" s="587"/>
      <c r="F343" s="587"/>
      <c r="G343" s="587"/>
      <c r="H343" s="587"/>
      <c r="I343" s="587"/>
      <c r="J343" s="587"/>
      <c r="K343" s="587"/>
      <c r="L343" s="588"/>
      <c r="M343" s="34"/>
    </row>
    <row r="344" spans="1:13" ht="20.25" x14ac:dyDescent="0.2">
      <c r="A344" s="32"/>
      <c r="B344" s="124"/>
      <c r="C344" s="586"/>
      <c r="D344" s="587"/>
      <c r="E344" s="587"/>
      <c r="F344" s="587"/>
      <c r="G344" s="587"/>
      <c r="H344" s="587"/>
      <c r="I344" s="587"/>
      <c r="J344" s="587"/>
      <c r="K344" s="587"/>
      <c r="L344" s="588"/>
      <c r="M344" s="34"/>
    </row>
    <row r="345" spans="1:13" ht="20.25" x14ac:dyDescent="0.2">
      <c r="A345" s="32"/>
      <c r="B345" s="124"/>
      <c r="C345" s="586"/>
      <c r="D345" s="587"/>
      <c r="E345" s="587"/>
      <c r="F345" s="587"/>
      <c r="G345" s="587"/>
      <c r="H345" s="587"/>
      <c r="I345" s="587"/>
      <c r="J345" s="587"/>
      <c r="K345" s="587"/>
      <c r="L345" s="588"/>
      <c r="M345" s="34"/>
    </row>
    <row r="346" spans="1:13" ht="20.25" x14ac:dyDescent="0.2">
      <c r="A346" s="32"/>
      <c r="B346" s="124"/>
      <c r="C346" s="586"/>
      <c r="D346" s="587"/>
      <c r="E346" s="587"/>
      <c r="F346" s="587"/>
      <c r="G346" s="587"/>
      <c r="H346" s="587"/>
      <c r="I346" s="587"/>
      <c r="J346" s="587"/>
      <c r="K346" s="587"/>
      <c r="L346" s="588"/>
      <c r="M346" s="34"/>
    </row>
    <row r="347" spans="1:13" ht="20.25" x14ac:dyDescent="0.2">
      <c r="A347" s="32"/>
      <c r="B347" s="124"/>
      <c r="C347" s="586"/>
      <c r="D347" s="587"/>
      <c r="E347" s="587"/>
      <c r="F347" s="587"/>
      <c r="G347" s="587"/>
      <c r="H347" s="587"/>
      <c r="I347" s="587"/>
      <c r="J347" s="587"/>
      <c r="K347" s="587"/>
      <c r="L347" s="588"/>
      <c r="M347" s="34"/>
    </row>
    <row r="348" spans="1:13" ht="20.25" x14ac:dyDescent="0.2">
      <c r="A348" s="32"/>
      <c r="B348" s="124"/>
      <c r="C348" s="586"/>
      <c r="D348" s="587"/>
      <c r="E348" s="587"/>
      <c r="F348" s="587"/>
      <c r="G348" s="587"/>
      <c r="H348" s="587"/>
      <c r="I348" s="587"/>
      <c r="J348" s="587"/>
      <c r="K348" s="587"/>
      <c r="L348" s="588"/>
      <c r="M348" s="34"/>
    </row>
    <row r="349" spans="1:13" ht="20.25" x14ac:dyDescent="0.2">
      <c r="A349" s="32"/>
      <c r="B349" s="124"/>
      <c r="C349" s="586"/>
      <c r="D349" s="587"/>
      <c r="E349" s="587"/>
      <c r="F349" s="587"/>
      <c r="G349" s="587"/>
      <c r="H349" s="587"/>
      <c r="I349" s="587"/>
      <c r="J349" s="587"/>
      <c r="K349" s="587"/>
      <c r="L349" s="588"/>
      <c r="M349" s="34"/>
    </row>
    <row r="350" spans="1:13" ht="20.25" x14ac:dyDescent="0.2">
      <c r="A350" s="32"/>
      <c r="B350" s="124"/>
      <c r="C350" s="586"/>
      <c r="D350" s="587"/>
      <c r="E350" s="587"/>
      <c r="F350" s="587"/>
      <c r="G350" s="587"/>
      <c r="H350" s="587"/>
      <c r="I350" s="587"/>
      <c r="J350" s="587"/>
      <c r="K350" s="587"/>
      <c r="L350" s="588"/>
      <c r="M350" s="34"/>
    </row>
    <row r="351" spans="1:13" ht="20.25" x14ac:dyDescent="0.2">
      <c r="A351" s="32"/>
      <c r="B351" s="124"/>
      <c r="C351" s="586"/>
      <c r="D351" s="587"/>
      <c r="E351" s="587"/>
      <c r="F351" s="587"/>
      <c r="G351" s="587"/>
      <c r="H351" s="587"/>
      <c r="I351" s="587"/>
      <c r="J351" s="587"/>
      <c r="K351" s="587"/>
      <c r="L351" s="588"/>
      <c r="M351" s="34"/>
    </row>
    <row r="352" spans="1:13" ht="20.25" x14ac:dyDescent="0.2">
      <c r="A352" s="32"/>
      <c r="B352" s="124"/>
      <c r="C352" s="586"/>
      <c r="D352" s="587"/>
      <c r="E352" s="587"/>
      <c r="F352" s="587"/>
      <c r="G352" s="587"/>
      <c r="H352" s="587"/>
      <c r="I352" s="587"/>
      <c r="J352" s="587"/>
      <c r="K352" s="587"/>
      <c r="L352" s="588"/>
      <c r="M352" s="34"/>
    </row>
    <row r="353" spans="1:13" ht="20.25" x14ac:dyDescent="0.2">
      <c r="A353" s="32"/>
      <c r="B353" s="124"/>
      <c r="C353" s="586"/>
      <c r="D353" s="587"/>
      <c r="E353" s="587"/>
      <c r="F353" s="587"/>
      <c r="G353" s="587"/>
      <c r="H353" s="587"/>
      <c r="I353" s="587"/>
      <c r="J353" s="587"/>
      <c r="K353" s="587"/>
      <c r="L353" s="588"/>
      <c r="M353" s="34"/>
    </row>
    <row r="354" spans="1:13" ht="20.25" x14ac:dyDescent="0.2">
      <c r="A354" s="32"/>
      <c r="B354" s="124"/>
      <c r="C354" s="586"/>
      <c r="D354" s="587"/>
      <c r="E354" s="587"/>
      <c r="F354" s="587"/>
      <c r="G354" s="587"/>
      <c r="H354" s="587"/>
      <c r="I354" s="587"/>
      <c r="J354" s="587"/>
      <c r="K354" s="587"/>
      <c r="L354" s="588"/>
      <c r="M354" s="34"/>
    </row>
    <row r="355" spans="1:13" ht="20.25" x14ac:dyDescent="0.2">
      <c r="A355" s="32"/>
      <c r="B355" s="124"/>
      <c r="C355" s="586"/>
      <c r="D355" s="587"/>
      <c r="E355" s="587"/>
      <c r="F355" s="587"/>
      <c r="G355" s="587"/>
      <c r="H355" s="587"/>
      <c r="I355" s="587"/>
      <c r="J355" s="587"/>
      <c r="K355" s="587"/>
      <c r="L355" s="588"/>
      <c r="M355" s="34"/>
    </row>
    <row r="356" spans="1:13" ht="20.25" x14ac:dyDescent="0.2">
      <c r="A356" s="32"/>
      <c r="B356" s="124"/>
      <c r="C356" s="586"/>
      <c r="D356" s="587"/>
      <c r="E356" s="587"/>
      <c r="F356" s="587"/>
      <c r="G356" s="587"/>
      <c r="H356" s="587"/>
      <c r="I356" s="587"/>
      <c r="J356" s="587"/>
      <c r="K356" s="587"/>
      <c r="L356" s="588"/>
      <c r="M356" s="34"/>
    </row>
    <row r="357" spans="1:13" ht="20.25" x14ac:dyDescent="0.2">
      <c r="A357" s="32"/>
      <c r="B357" s="124"/>
      <c r="C357" s="586"/>
      <c r="D357" s="587"/>
      <c r="E357" s="587"/>
      <c r="F357" s="587"/>
      <c r="G357" s="587"/>
      <c r="H357" s="587"/>
      <c r="I357" s="587"/>
      <c r="J357" s="587"/>
      <c r="K357" s="587"/>
      <c r="L357" s="588"/>
      <c r="M357" s="34"/>
    </row>
    <row r="358" spans="1:13" ht="20.25" x14ac:dyDescent="0.2">
      <c r="A358" s="32"/>
      <c r="B358" s="124"/>
      <c r="C358" s="586"/>
      <c r="D358" s="587"/>
      <c r="E358" s="587"/>
      <c r="F358" s="587"/>
      <c r="G358" s="587"/>
      <c r="H358" s="587"/>
      <c r="I358" s="587"/>
      <c r="J358" s="587"/>
      <c r="K358" s="587"/>
      <c r="L358" s="588"/>
      <c r="M358" s="34"/>
    </row>
    <row r="359" spans="1:13" ht="20.25" x14ac:dyDescent="0.2">
      <c r="A359" s="32"/>
      <c r="B359" s="124"/>
      <c r="C359" s="586"/>
      <c r="D359" s="587"/>
      <c r="E359" s="587"/>
      <c r="F359" s="587"/>
      <c r="G359" s="587"/>
      <c r="H359" s="587"/>
      <c r="I359" s="587"/>
      <c r="J359" s="587"/>
      <c r="K359" s="587"/>
      <c r="L359" s="588"/>
      <c r="M359" s="34"/>
    </row>
    <row r="360" spans="1:13" ht="20.25" x14ac:dyDescent="0.2">
      <c r="A360" s="32"/>
      <c r="B360" s="124"/>
      <c r="C360" s="586"/>
      <c r="D360" s="587"/>
      <c r="E360" s="587"/>
      <c r="F360" s="587"/>
      <c r="G360" s="587"/>
      <c r="H360" s="587"/>
      <c r="I360" s="587"/>
      <c r="J360" s="587"/>
      <c r="K360" s="587"/>
      <c r="L360" s="588"/>
      <c r="M360" s="34"/>
    </row>
    <row r="361" spans="1:13" ht="20.25" x14ac:dyDescent="0.2">
      <c r="A361" s="32"/>
      <c r="B361" s="124"/>
      <c r="C361" s="586"/>
      <c r="D361" s="587"/>
      <c r="E361" s="587"/>
      <c r="F361" s="587"/>
      <c r="G361" s="587"/>
      <c r="H361" s="587"/>
      <c r="I361" s="587"/>
      <c r="J361" s="587"/>
      <c r="K361" s="587"/>
      <c r="L361" s="588"/>
      <c r="M361" s="34"/>
    </row>
    <row r="362" spans="1:13" ht="20.25" x14ac:dyDescent="0.2">
      <c r="A362" s="32"/>
      <c r="B362" s="124"/>
      <c r="C362" s="586"/>
      <c r="D362" s="587"/>
      <c r="E362" s="587"/>
      <c r="F362" s="587"/>
      <c r="G362" s="587"/>
      <c r="H362" s="587"/>
      <c r="I362" s="587"/>
      <c r="J362" s="587"/>
      <c r="K362" s="587"/>
      <c r="L362" s="588"/>
      <c r="M362" s="34"/>
    </row>
    <row r="363" spans="1:13" ht="20.25" x14ac:dyDescent="0.2">
      <c r="A363" s="32"/>
      <c r="B363" s="124"/>
      <c r="C363" s="586"/>
      <c r="D363" s="587"/>
      <c r="E363" s="587"/>
      <c r="F363" s="587"/>
      <c r="G363" s="587"/>
      <c r="H363" s="587"/>
      <c r="I363" s="587"/>
      <c r="J363" s="587"/>
      <c r="K363" s="587"/>
      <c r="L363" s="588"/>
      <c r="M363" s="34"/>
    </row>
    <row r="364" spans="1:13" ht="20.25" x14ac:dyDescent="0.2">
      <c r="A364" s="32"/>
      <c r="B364" s="124"/>
      <c r="C364" s="586"/>
      <c r="D364" s="587"/>
      <c r="E364" s="587"/>
      <c r="F364" s="587"/>
      <c r="G364" s="587"/>
      <c r="H364" s="587"/>
      <c r="I364" s="587"/>
      <c r="J364" s="587"/>
      <c r="K364" s="587"/>
      <c r="L364" s="588"/>
      <c r="M364" s="34"/>
    </row>
    <row r="365" spans="1:13" ht="21" thickBot="1" x14ac:dyDescent="0.25">
      <c r="A365" s="32"/>
      <c r="B365" s="126"/>
      <c r="C365" s="589"/>
      <c r="D365" s="590"/>
      <c r="E365" s="590"/>
      <c r="F365" s="590"/>
      <c r="G365" s="590"/>
      <c r="H365" s="590"/>
      <c r="I365" s="590"/>
      <c r="J365" s="590"/>
      <c r="K365" s="590"/>
      <c r="L365" s="591"/>
      <c r="M365" s="34"/>
    </row>
    <row r="366" spans="1:13" ht="21" thickBot="1" x14ac:dyDescent="0.25">
      <c r="A366" s="32"/>
      <c r="B366" s="33"/>
      <c r="C366" s="33"/>
      <c r="D366" s="33"/>
      <c r="E366" s="33"/>
      <c r="F366" s="33"/>
      <c r="G366" s="33"/>
      <c r="H366" s="33"/>
      <c r="I366" s="33"/>
      <c r="J366" s="33"/>
      <c r="K366" s="33"/>
      <c r="L366" s="33"/>
      <c r="M366" s="34"/>
    </row>
    <row r="367" spans="1:13" ht="24.75" thickTop="1" thickBot="1" x14ac:dyDescent="0.25">
      <c r="A367" s="24"/>
      <c r="B367" s="25"/>
      <c r="C367" s="25"/>
      <c r="D367" s="25"/>
      <c r="E367" s="26"/>
      <c r="F367" s="27"/>
      <c r="G367" s="27"/>
      <c r="H367" s="27"/>
      <c r="I367" s="27"/>
      <c r="J367" s="25"/>
      <c r="K367" s="25"/>
      <c r="L367" s="28"/>
      <c r="M367" s="29"/>
    </row>
    <row r="368" spans="1:13" x14ac:dyDescent="0.2">
      <c r="A368" s="30"/>
      <c r="B368" s="493" t="s">
        <v>109</v>
      </c>
      <c r="C368" s="494"/>
      <c r="D368" s="494"/>
      <c r="E368" s="494"/>
      <c r="F368" s="494"/>
      <c r="G368" s="494"/>
      <c r="H368" s="494"/>
      <c r="I368" s="494"/>
      <c r="J368" s="494"/>
      <c r="K368" s="494"/>
      <c r="L368" s="495"/>
      <c r="M368" s="34"/>
    </row>
    <row r="369" spans="1:13" x14ac:dyDescent="0.2">
      <c r="A369" s="30"/>
      <c r="B369" s="496"/>
      <c r="C369" s="497"/>
      <c r="D369" s="497"/>
      <c r="E369" s="497"/>
      <c r="F369" s="497"/>
      <c r="G369" s="497"/>
      <c r="H369" s="497"/>
      <c r="I369" s="497"/>
      <c r="J369" s="497"/>
      <c r="K369" s="497"/>
      <c r="L369" s="498"/>
      <c r="M369" s="34"/>
    </row>
    <row r="370" spans="1:13" x14ac:dyDescent="0.2">
      <c r="A370" s="30"/>
      <c r="B370" s="496"/>
      <c r="C370" s="497"/>
      <c r="D370" s="497"/>
      <c r="E370" s="497"/>
      <c r="F370" s="497"/>
      <c r="G370" s="497"/>
      <c r="H370" s="497"/>
      <c r="I370" s="497"/>
      <c r="J370" s="497"/>
      <c r="K370" s="497"/>
      <c r="L370" s="498"/>
      <c r="M370" s="34"/>
    </row>
    <row r="371" spans="1:13" x14ac:dyDescent="0.2">
      <c r="A371" s="30"/>
      <c r="B371" s="496"/>
      <c r="C371" s="497"/>
      <c r="D371" s="497"/>
      <c r="E371" s="497"/>
      <c r="F371" s="497"/>
      <c r="G371" s="497"/>
      <c r="H371" s="497"/>
      <c r="I371" s="497"/>
      <c r="J371" s="497"/>
      <c r="K371" s="497"/>
      <c r="L371" s="498"/>
      <c r="M371" s="34"/>
    </row>
    <row r="372" spans="1:13" ht="21" thickBot="1" x14ac:dyDescent="0.25">
      <c r="A372" s="31"/>
      <c r="B372" s="499"/>
      <c r="C372" s="500"/>
      <c r="D372" s="500"/>
      <c r="E372" s="500"/>
      <c r="F372" s="500"/>
      <c r="G372" s="500"/>
      <c r="H372" s="500"/>
      <c r="I372" s="500"/>
      <c r="J372" s="500"/>
      <c r="K372" s="500"/>
      <c r="L372" s="501"/>
      <c r="M372" s="34"/>
    </row>
    <row r="373" spans="1:13" ht="20.25" x14ac:dyDescent="0.2">
      <c r="A373" s="32"/>
      <c r="B373" s="33"/>
      <c r="C373" s="33"/>
      <c r="D373" s="33"/>
      <c r="E373" s="33"/>
      <c r="F373" s="33"/>
      <c r="G373" s="33"/>
      <c r="H373" s="33"/>
      <c r="I373" s="33"/>
      <c r="J373" s="33"/>
      <c r="K373" s="33"/>
      <c r="L373" s="33"/>
      <c r="M373" s="34"/>
    </row>
    <row r="374" spans="1:13" ht="21" thickBot="1" x14ac:dyDescent="0.25">
      <c r="A374" s="32"/>
      <c r="B374" s="33"/>
      <c r="C374" s="33"/>
      <c r="D374" s="33"/>
      <c r="E374" s="33"/>
      <c r="F374" s="33"/>
      <c r="G374" s="33"/>
      <c r="H374" s="33"/>
      <c r="I374" s="33"/>
      <c r="J374" s="33"/>
      <c r="K374" s="33"/>
      <c r="L374" s="33"/>
      <c r="M374" s="34"/>
    </row>
    <row r="375" spans="1:13" ht="21" thickBot="1" x14ac:dyDescent="0.25">
      <c r="A375" s="32"/>
      <c r="B375" s="502" t="s">
        <v>110</v>
      </c>
      <c r="C375" s="503"/>
      <c r="D375" s="503"/>
      <c r="E375" s="503"/>
      <c r="F375" s="503"/>
      <c r="G375" s="503"/>
      <c r="H375" s="503"/>
      <c r="I375" s="503"/>
      <c r="J375" s="503"/>
      <c r="K375" s="503"/>
      <c r="L375" s="504"/>
      <c r="M375" s="34"/>
    </row>
    <row r="376" spans="1:13" ht="21" thickBot="1" x14ac:dyDescent="0.25">
      <c r="A376" s="32"/>
      <c r="B376" s="63" t="s">
        <v>10</v>
      </c>
      <c r="C376" s="502" t="s">
        <v>83</v>
      </c>
      <c r="D376" s="503"/>
      <c r="E376" s="503"/>
      <c r="F376" s="503"/>
      <c r="G376" s="503"/>
      <c r="H376" s="503"/>
      <c r="I376" s="503"/>
      <c r="J376" s="503"/>
      <c r="K376" s="503"/>
      <c r="L376" s="504"/>
      <c r="M376" s="34"/>
    </row>
    <row r="377" spans="1:13" ht="20.25" x14ac:dyDescent="0.2">
      <c r="A377" s="32"/>
      <c r="B377" s="122"/>
      <c r="C377" s="592"/>
      <c r="D377" s="593"/>
      <c r="E377" s="593"/>
      <c r="F377" s="593"/>
      <c r="G377" s="593"/>
      <c r="H377" s="593"/>
      <c r="I377" s="593"/>
      <c r="J377" s="593"/>
      <c r="K377" s="593"/>
      <c r="L377" s="594"/>
      <c r="M377" s="34"/>
    </row>
    <row r="378" spans="1:13" ht="20.25" x14ac:dyDescent="0.2">
      <c r="A378" s="32"/>
      <c r="B378" s="124"/>
      <c r="C378" s="586"/>
      <c r="D378" s="587"/>
      <c r="E378" s="587"/>
      <c r="F378" s="587"/>
      <c r="G378" s="587"/>
      <c r="H378" s="587"/>
      <c r="I378" s="587"/>
      <c r="J378" s="587"/>
      <c r="K378" s="587"/>
      <c r="L378" s="588"/>
      <c r="M378" s="34"/>
    </row>
    <row r="379" spans="1:13" ht="20.25" x14ac:dyDescent="0.2">
      <c r="A379" s="32"/>
      <c r="B379" s="124"/>
      <c r="C379" s="586"/>
      <c r="D379" s="587"/>
      <c r="E379" s="587"/>
      <c r="F379" s="587"/>
      <c r="G379" s="587"/>
      <c r="H379" s="587"/>
      <c r="I379" s="587"/>
      <c r="J379" s="587"/>
      <c r="K379" s="587"/>
      <c r="L379" s="588"/>
      <c r="M379" s="34"/>
    </row>
    <row r="380" spans="1:13" ht="20.25" x14ac:dyDescent="0.2">
      <c r="A380" s="32"/>
      <c r="B380" s="124"/>
      <c r="C380" s="586"/>
      <c r="D380" s="587"/>
      <c r="E380" s="587"/>
      <c r="F380" s="587"/>
      <c r="G380" s="587"/>
      <c r="H380" s="587"/>
      <c r="I380" s="587"/>
      <c r="J380" s="587"/>
      <c r="K380" s="587"/>
      <c r="L380" s="588"/>
      <c r="M380" s="34"/>
    </row>
    <row r="381" spans="1:13" ht="20.25" x14ac:dyDescent="0.2">
      <c r="A381" s="32"/>
      <c r="B381" s="124"/>
      <c r="C381" s="586"/>
      <c r="D381" s="587"/>
      <c r="E381" s="587"/>
      <c r="F381" s="587"/>
      <c r="G381" s="587"/>
      <c r="H381" s="587"/>
      <c r="I381" s="587"/>
      <c r="J381" s="587"/>
      <c r="K381" s="587"/>
      <c r="L381" s="588"/>
      <c r="M381" s="34"/>
    </row>
    <row r="382" spans="1:13" ht="20.25" x14ac:dyDescent="0.2">
      <c r="A382" s="32"/>
      <c r="B382" s="124"/>
      <c r="C382" s="586"/>
      <c r="D382" s="587"/>
      <c r="E382" s="587"/>
      <c r="F382" s="587"/>
      <c r="G382" s="587"/>
      <c r="H382" s="587"/>
      <c r="I382" s="587"/>
      <c r="J382" s="587"/>
      <c r="K382" s="587"/>
      <c r="L382" s="588"/>
      <c r="M382" s="34"/>
    </row>
    <row r="383" spans="1:13" ht="20.25" x14ac:dyDescent="0.2">
      <c r="A383" s="32"/>
      <c r="B383" s="124"/>
      <c r="C383" s="586"/>
      <c r="D383" s="587"/>
      <c r="E383" s="587"/>
      <c r="F383" s="587"/>
      <c r="G383" s="587"/>
      <c r="H383" s="587"/>
      <c r="I383" s="587"/>
      <c r="J383" s="587"/>
      <c r="K383" s="587"/>
      <c r="L383" s="588"/>
      <c r="M383" s="34"/>
    </row>
    <row r="384" spans="1:13" ht="20.25" x14ac:dyDescent="0.2">
      <c r="A384" s="32"/>
      <c r="B384" s="124"/>
      <c r="C384" s="586"/>
      <c r="D384" s="587"/>
      <c r="E384" s="587"/>
      <c r="F384" s="587"/>
      <c r="G384" s="587"/>
      <c r="H384" s="587"/>
      <c r="I384" s="587"/>
      <c r="J384" s="587"/>
      <c r="K384" s="587"/>
      <c r="L384" s="588"/>
      <c r="M384" s="34"/>
    </row>
    <row r="385" spans="1:13" ht="20.25" x14ac:dyDescent="0.2">
      <c r="A385" s="32"/>
      <c r="B385" s="124"/>
      <c r="C385" s="586"/>
      <c r="D385" s="587"/>
      <c r="E385" s="587"/>
      <c r="F385" s="587"/>
      <c r="G385" s="587"/>
      <c r="H385" s="587"/>
      <c r="I385" s="587"/>
      <c r="J385" s="587"/>
      <c r="K385" s="587"/>
      <c r="L385" s="588"/>
      <c r="M385" s="34"/>
    </row>
    <row r="386" spans="1:13" ht="20.25" x14ac:dyDescent="0.2">
      <c r="A386" s="32"/>
      <c r="B386" s="124"/>
      <c r="C386" s="586"/>
      <c r="D386" s="587"/>
      <c r="E386" s="587"/>
      <c r="F386" s="587"/>
      <c r="G386" s="587"/>
      <c r="H386" s="587"/>
      <c r="I386" s="587"/>
      <c r="J386" s="587"/>
      <c r="K386" s="587"/>
      <c r="L386" s="588"/>
      <c r="M386" s="34"/>
    </row>
    <row r="387" spans="1:13" ht="20.25" x14ac:dyDescent="0.2">
      <c r="A387" s="32"/>
      <c r="B387" s="124"/>
      <c r="C387" s="586"/>
      <c r="D387" s="587"/>
      <c r="E387" s="587"/>
      <c r="F387" s="587"/>
      <c r="G387" s="587"/>
      <c r="H387" s="587"/>
      <c r="I387" s="587"/>
      <c r="J387" s="587"/>
      <c r="K387" s="587"/>
      <c r="L387" s="588"/>
      <c r="M387" s="34"/>
    </row>
    <row r="388" spans="1:13" ht="20.25" x14ac:dyDescent="0.2">
      <c r="A388" s="32"/>
      <c r="B388" s="124"/>
      <c r="C388" s="586"/>
      <c r="D388" s="587"/>
      <c r="E388" s="587"/>
      <c r="F388" s="587"/>
      <c r="G388" s="587"/>
      <c r="H388" s="587"/>
      <c r="I388" s="587"/>
      <c r="J388" s="587"/>
      <c r="K388" s="587"/>
      <c r="L388" s="588"/>
      <c r="M388" s="34"/>
    </row>
    <row r="389" spans="1:13" ht="20.25" x14ac:dyDescent="0.2">
      <c r="A389" s="32"/>
      <c r="B389" s="124"/>
      <c r="C389" s="586"/>
      <c r="D389" s="587"/>
      <c r="E389" s="587"/>
      <c r="F389" s="587"/>
      <c r="G389" s="587"/>
      <c r="H389" s="587"/>
      <c r="I389" s="587"/>
      <c r="J389" s="587"/>
      <c r="K389" s="587"/>
      <c r="L389" s="588"/>
      <c r="M389" s="34"/>
    </row>
    <row r="390" spans="1:13" ht="20.25" x14ac:dyDescent="0.2">
      <c r="A390" s="32"/>
      <c r="B390" s="124"/>
      <c r="C390" s="586"/>
      <c r="D390" s="587"/>
      <c r="E390" s="587"/>
      <c r="F390" s="587"/>
      <c r="G390" s="587"/>
      <c r="H390" s="587"/>
      <c r="I390" s="587"/>
      <c r="J390" s="587"/>
      <c r="K390" s="587"/>
      <c r="L390" s="588"/>
      <c r="M390" s="34"/>
    </row>
    <row r="391" spans="1:13" ht="20.25" x14ac:dyDescent="0.2">
      <c r="A391" s="32"/>
      <c r="B391" s="124"/>
      <c r="C391" s="586"/>
      <c r="D391" s="587"/>
      <c r="E391" s="587"/>
      <c r="F391" s="587"/>
      <c r="G391" s="587"/>
      <c r="H391" s="587"/>
      <c r="I391" s="587"/>
      <c r="J391" s="587"/>
      <c r="K391" s="587"/>
      <c r="L391" s="588"/>
      <c r="M391" s="34"/>
    </row>
    <row r="392" spans="1:13" ht="20.25" x14ac:dyDescent="0.2">
      <c r="A392" s="32"/>
      <c r="B392" s="124"/>
      <c r="C392" s="586"/>
      <c r="D392" s="587"/>
      <c r="E392" s="587"/>
      <c r="F392" s="587"/>
      <c r="G392" s="587"/>
      <c r="H392" s="587"/>
      <c r="I392" s="587"/>
      <c r="J392" s="587"/>
      <c r="K392" s="587"/>
      <c r="L392" s="588"/>
      <c r="M392" s="34"/>
    </row>
    <row r="393" spans="1:13" ht="20.25" x14ac:dyDescent="0.2">
      <c r="A393" s="32"/>
      <c r="B393" s="124"/>
      <c r="C393" s="586"/>
      <c r="D393" s="587"/>
      <c r="E393" s="587"/>
      <c r="F393" s="587"/>
      <c r="G393" s="587"/>
      <c r="H393" s="587"/>
      <c r="I393" s="587"/>
      <c r="J393" s="587"/>
      <c r="K393" s="587"/>
      <c r="L393" s="588"/>
      <c r="M393" s="34"/>
    </row>
    <row r="394" spans="1:13" ht="20.25" x14ac:dyDescent="0.2">
      <c r="A394" s="32"/>
      <c r="B394" s="124"/>
      <c r="C394" s="586"/>
      <c r="D394" s="587"/>
      <c r="E394" s="587"/>
      <c r="F394" s="587"/>
      <c r="G394" s="587"/>
      <c r="H394" s="587"/>
      <c r="I394" s="587"/>
      <c r="J394" s="587"/>
      <c r="K394" s="587"/>
      <c r="L394" s="588"/>
      <c r="M394" s="34"/>
    </row>
    <row r="395" spans="1:13" ht="20.25" x14ac:dyDescent="0.2">
      <c r="A395" s="32"/>
      <c r="B395" s="124"/>
      <c r="C395" s="586"/>
      <c r="D395" s="587"/>
      <c r="E395" s="587"/>
      <c r="F395" s="587"/>
      <c r="G395" s="587"/>
      <c r="H395" s="587"/>
      <c r="I395" s="587"/>
      <c r="J395" s="587"/>
      <c r="K395" s="587"/>
      <c r="L395" s="588"/>
      <c r="M395" s="34"/>
    </row>
    <row r="396" spans="1:13" ht="20.25" x14ac:dyDescent="0.2">
      <c r="A396" s="32"/>
      <c r="B396" s="124"/>
      <c r="C396" s="586"/>
      <c r="D396" s="587"/>
      <c r="E396" s="587"/>
      <c r="F396" s="587"/>
      <c r="G396" s="587"/>
      <c r="H396" s="587"/>
      <c r="I396" s="587"/>
      <c r="J396" s="587"/>
      <c r="K396" s="587"/>
      <c r="L396" s="588"/>
      <c r="M396" s="34"/>
    </row>
    <row r="397" spans="1:13" ht="20.25" x14ac:dyDescent="0.2">
      <c r="A397" s="32"/>
      <c r="B397" s="124"/>
      <c r="C397" s="586"/>
      <c r="D397" s="587"/>
      <c r="E397" s="587"/>
      <c r="F397" s="587"/>
      <c r="G397" s="587"/>
      <c r="H397" s="587"/>
      <c r="I397" s="587"/>
      <c r="J397" s="587"/>
      <c r="K397" s="587"/>
      <c r="L397" s="588"/>
      <c r="M397" s="34"/>
    </row>
    <row r="398" spans="1:13" ht="20.25" x14ac:dyDescent="0.2">
      <c r="A398" s="32"/>
      <c r="B398" s="124"/>
      <c r="C398" s="586"/>
      <c r="D398" s="587"/>
      <c r="E398" s="587"/>
      <c r="F398" s="587"/>
      <c r="G398" s="587"/>
      <c r="H398" s="587"/>
      <c r="I398" s="587"/>
      <c r="J398" s="587"/>
      <c r="K398" s="587"/>
      <c r="L398" s="588"/>
      <c r="M398" s="34"/>
    </row>
    <row r="399" spans="1:13" ht="20.25" x14ac:dyDescent="0.2">
      <c r="A399" s="32"/>
      <c r="B399" s="124"/>
      <c r="C399" s="586"/>
      <c r="D399" s="587"/>
      <c r="E399" s="587"/>
      <c r="F399" s="587"/>
      <c r="G399" s="587"/>
      <c r="H399" s="587"/>
      <c r="I399" s="587"/>
      <c r="J399" s="587"/>
      <c r="K399" s="587"/>
      <c r="L399" s="588"/>
      <c r="M399" s="34"/>
    </row>
    <row r="400" spans="1:13" ht="20.25" x14ac:dyDescent="0.2">
      <c r="A400" s="32"/>
      <c r="B400" s="124"/>
      <c r="C400" s="586"/>
      <c r="D400" s="587"/>
      <c r="E400" s="587"/>
      <c r="F400" s="587"/>
      <c r="G400" s="587"/>
      <c r="H400" s="587"/>
      <c r="I400" s="587"/>
      <c r="J400" s="587"/>
      <c r="K400" s="587"/>
      <c r="L400" s="588"/>
      <c r="M400" s="34"/>
    </row>
    <row r="401" spans="1:13" ht="20.25" x14ac:dyDescent="0.2">
      <c r="A401" s="32"/>
      <c r="B401" s="124"/>
      <c r="C401" s="586"/>
      <c r="D401" s="587"/>
      <c r="E401" s="587"/>
      <c r="F401" s="587"/>
      <c r="G401" s="587"/>
      <c r="H401" s="587"/>
      <c r="I401" s="587"/>
      <c r="J401" s="587"/>
      <c r="K401" s="587"/>
      <c r="L401" s="588"/>
      <c r="M401" s="34"/>
    </row>
    <row r="402" spans="1:13" ht="20.25" x14ac:dyDescent="0.2">
      <c r="A402" s="32"/>
      <c r="B402" s="124"/>
      <c r="C402" s="586"/>
      <c r="D402" s="587"/>
      <c r="E402" s="587"/>
      <c r="F402" s="587"/>
      <c r="G402" s="587"/>
      <c r="H402" s="587"/>
      <c r="I402" s="587"/>
      <c r="J402" s="587"/>
      <c r="K402" s="587"/>
      <c r="L402" s="588"/>
      <c r="M402" s="34"/>
    </row>
    <row r="403" spans="1:13" ht="20.25" x14ac:dyDescent="0.2">
      <c r="A403" s="32"/>
      <c r="B403" s="124"/>
      <c r="C403" s="586"/>
      <c r="D403" s="587"/>
      <c r="E403" s="587"/>
      <c r="F403" s="587"/>
      <c r="G403" s="587"/>
      <c r="H403" s="587"/>
      <c r="I403" s="587"/>
      <c r="J403" s="587"/>
      <c r="K403" s="587"/>
      <c r="L403" s="588"/>
      <c r="M403" s="34"/>
    </row>
    <row r="404" spans="1:13" ht="20.25" x14ac:dyDescent="0.2">
      <c r="A404" s="32"/>
      <c r="B404" s="124"/>
      <c r="C404" s="586"/>
      <c r="D404" s="587"/>
      <c r="E404" s="587"/>
      <c r="F404" s="587"/>
      <c r="G404" s="587"/>
      <c r="H404" s="587"/>
      <c r="I404" s="587"/>
      <c r="J404" s="587"/>
      <c r="K404" s="587"/>
      <c r="L404" s="588"/>
      <c r="M404" s="34"/>
    </row>
    <row r="405" spans="1:13" ht="20.25" x14ac:dyDescent="0.2">
      <c r="A405" s="32"/>
      <c r="B405" s="124"/>
      <c r="C405" s="586"/>
      <c r="D405" s="587"/>
      <c r="E405" s="587"/>
      <c r="F405" s="587"/>
      <c r="G405" s="587"/>
      <c r="H405" s="587"/>
      <c r="I405" s="587"/>
      <c r="J405" s="587"/>
      <c r="K405" s="587"/>
      <c r="L405" s="588"/>
      <c r="M405" s="34"/>
    </row>
    <row r="406" spans="1:13" ht="20.25" x14ac:dyDescent="0.2">
      <c r="A406" s="32"/>
      <c r="B406" s="124"/>
      <c r="C406" s="586"/>
      <c r="D406" s="587"/>
      <c r="E406" s="587"/>
      <c r="F406" s="587"/>
      <c r="G406" s="587"/>
      <c r="H406" s="587"/>
      <c r="I406" s="587"/>
      <c r="J406" s="587"/>
      <c r="K406" s="587"/>
      <c r="L406" s="588"/>
      <c r="M406" s="34"/>
    </row>
    <row r="407" spans="1:13" ht="20.25" x14ac:dyDescent="0.2">
      <c r="A407" s="32"/>
      <c r="B407" s="124"/>
      <c r="C407" s="586"/>
      <c r="D407" s="587"/>
      <c r="E407" s="587"/>
      <c r="F407" s="587"/>
      <c r="G407" s="587"/>
      <c r="H407" s="587"/>
      <c r="I407" s="587"/>
      <c r="J407" s="587"/>
      <c r="K407" s="587"/>
      <c r="L407" s="588"/>
      <c r="M407" s="34"/>
    </row>
    <row r="408" spans="1:13" ht="20.25" x14ac:dyDescent="0.2">
      <c r="A408" s="32"/>
      <c r="B408" s="124"/>
      <c r="C408" s="586"/>
      <c r="D408" s="587"/>
      <c r="E408" s="587"/>
      <c r="F408" s="587"/>
      <c r="G408" s="587"/>
      <c r="H408" s="587"/>
      <c r="I408" s="587"/>
      <c r="J408" s="587"/>
      <c r="K408" s="587"/>
      <c r="L408" s="588"/>
      <c r="M408" s="34"/>
    </row>
    <row r="409" spans="1:13" ht="20.25" x14ac:dyDescent="0.2">
      <c r="A409" s="32"/>
      <c r="B409" s="124"/>
      <c r="C409" s="586"/>
      <c r="D409" s="587"/>
      <c r="E409" s="587"/>
      <c r="F409" s="587"/>
      <c r="G409" s="587"/>
      <c r="H409" s="587"/>
      <c r="I409" s="587"/>
      <c r="J409" s="587"/>
      <c r="K409" s="587"/>
      <c r="L409" s="588"/>
      <c r="M409" s="34"/>
    </row>
    <row r="410" spans="1:13" ht="20.25" x14ac:dyDescent="0.2">
      <c r="A410" s="32"/>
      <c r="B410" s="124"/>
      <c r="C410" s="586"/>
      <c r="D410" s="587"/>
      <c r="E410" s="587"/>
      <c r="F410" s="587"/>
      <c r="G410" s="587"/>
      <c r="H410" s="587"/>
      <c r="I410" s="587"/>
      <c r="J410" s="587"/>
      <c r="K410" s="587"/>
      <c r="L410" s="588"/>
      <c r="M410" s="34"/>
    </row>
    <row r="411" spans="1:13" ht="20.25" x14ac:dyDescent="0.2">
      <c r="A411" s="32"/>
      <c r="B411" s="124"/>
      <c r="C411" s="586"/>
      <c r="D411" s="587"/>
      <c r="E411" s="587"/>
      <c r="F411" s="587"/>
      <c r="G411" s="587"/>
      <c r="H411" s="587"/>
      <c r="I411" s="587"/>
      <c r="J411" s="587"/>
      <c r="K411" s="587"/>
      <c r="L411" s="588"/>
      <c r="M411" s="34"/>
    </row>
    <row r="412" spans="1:13" ht="20.25" x14ac:dyDescent="0.2">
      <c r="A412" s="32"/>
      <c r="B412" s="124"/>
      <c r="C412" s="586"/>
      <c r="D412" s="587"/>
      <c r="E412" s="587"/>
      <c r="F412" s="587"/>
      <c r="G412" s="587"/>
      <c r="H412" s="587"/>
      <c r="I412" s="587"/>
      <c r="J412" s="587"/>
      <c r="K412" s="587"/>
      <c r="L412" s="588"/>
      <c r="M412" s="34"/>
    </row>
    <row r="413" spans="1:13" ht="20.25" x14ac:dyDescent="0.2">
      <c r="A413" s="32"/>
      <c r="B413" s="124"/>
      <c r="C413" s="586"/>
      <c r="D413" s="587"/>
      <c r="E413" s="587"/>
      <c r="F413" s="587"/>
      <c r="G413" s="587"/>
      <c r="H413" s="587"/>
      <c r="I413" s="587"/>
      <c r="J413" s="587"/>
      <c r="K413" s="587"/>
      <c r="L413" s="588"/>
      <c r="M413" s="34"/>
    </row>
    <row r="414" spans="1:13" ht="20.25" x14ac:dyDescent="0.2">
      <c r="A414" s="32"/>
      <c r="B414" s="124"/>
      <c r="C414" s="586"/>
      <c r="D414" s="587"/>
      <c r="E414" s="587"/>
      <c r="F414" s="587"/>
      <c r="G414" s="587"/>
      <c r="H414" s="587"/>
      <c r="I414" s="587"/>
      <c r="J414" s="587"/>
      <c r="K414" s="587"/>
      <c r="L414" s="588"/>
      <c r="M414" s="34"/>
    </row>
    <row r="415" spans="1:13" ht="20.25" x14ac:dyDescent="0.2">
      <c r="A415" s="32"/>
      <c r="B415" s="124"/>
      <c r="C415" s="586"/>
      <c r="D415" s="587"/>
      <c r="E415" s="587"/>
      <c r="F415" s="587"/>
      <c r="G415" s="587"/>
      <c r="H415" s="587"/>
      <c r="I415" s="587"/>
      <c r="J415" s="587"/>
      <c r="K415" s="587"/>
      <c r="L415" s="588"/>
      <c r="M415" s="34"/>
    </row>
    <row r="416" spans="1:13" ht="20.25" x14ac:dyDescent="0.2">
      <c r="A416" s="32"/>
      <c r="B416" s="124"/>
      <c r="C416" s="586"/>
      <c r="D416" s="587"/>
      <c r="E416" s="587"/>
      <c r="F416" s="587"/>
      <c r="G416" s="587"/>
      <c r="H416" s="587"/>
      <c r="I416" s="587"/>
      <c r="J416" s="587"/>
      <c r="K416" s="587"/>
      <c r="L416" s="588"/>
      <c r="M416" s="34"/>
    </row>
    <row r="417" spans="1:13" ht="20.25" x14ac:dyDescent="0.2">
      <c r="A417" s="32"/>
      <c r="B417" s="124"/>
      <c r="C417" s="586"/>
      <c r="D417" s="587"/>
      <c r="E417" s="587"/>
      <c r="F417" s="587"/>
      <c r="G417" s="587"/>
      <c r="H417" s="587"/>
      <c r="I417" s="587"/>
      <c r="J417" s="587"/>
      <c r="K417" s="587"/>
      <c r="L417" s="588"/>
      <c r="M417" s="34"/>
    </row>
    <row r="418" spans="1:13" ht="20.25" x14ac:dyDescent="0.2">
      <c r="A418" s="32"/>
      <c r="B418" s="124"/>
      <c r="C418" s="586"/>
      <c r="D418" s="587"/>
      <c r="E418" s="587"/>
      <c r="F418" s="587"/>
      <c r="G418" s="587"/>
      <c r="H418" s="587"/>
      <c r="I418" s="587"/>
      <c r="J418" s="587"/>
      <c r="K418" s="587"/>
      <c r="L418" s="588"/>
      <c r="M418" s="34"/>
    </row>
    <row r="419" spans="1:13" ht="20.25" x14ac:dyDescent="0.2">
      <c r="A419" s="32"/>
      <c r="B419" s="124"/>
      <c r="C419" s="586"/>
      <c r="D419" s="587"/>
      <c r="E419" s="587"/>
      <c r="F419" s="587"/>
      <c r="G419" s="587"/>
      <c r="H419" s="587"/>
      <c r="I419" s="587"/>
      <c r="J419" s="587"/>
      <c r="K419" s="587"/>
      <c r="L419" s="588"/>
      <c r="M419" s="34"/>
    </row>
    <row r="420" spans="1:13" ht="20.25" x14ac:dyDescent="0.2">
      <c r="A420" s="32"/>
      <c r="B420" s="124"/>
      <c r="C420" s="586"/>
      <c r="D420" s="587"/>
      <c r="E420" s="587"/>
      <c r="F420" s="587"/>
      <c r="G420" s="587"/>
      <c r="H420" s="587"/>
      <c r="I420" s="587"/>
      <c r="J420" s="587"/>
      <c r="K420" s="587"/>
      <c r="L420" s="588"/>
      <c r="M420" s="34"/>
    </row>
    <row r="421" spans="1:13" ht="20.25" x14ac:dyDescent="0.2">
      <c r="A421" s="32"/>
      <c r="B421" s="124"/>
      <c r="C421" s="586"/>
      <c r="D421" s="587"/>
      <c r="E421" s="587"/>
      <c r="F421" s="587"/>
      <c r="G421" s="587"/>
      <c r="H421" s="587"/>
      <c r="I421" s="587"/>
      <c r="J421" s="587"/>
      <c r="K421" s="587"/>
      <c r="L421" s="588"/>
      <c r="M421" s="34"/>
    </row>
    <row r="422" spans="1:13" ht="20.25" x14ac:dyDescent="0.2">
      <c r="A422" s="32"/>
      <c r="B422" s="124"/>
      <c r="C422" s="586"/>
      <c r="D422" s="587"/>
      <c r="E422" s="587"/>
      <c r="F422" s="587"/>
      <c r="G422" s="587"/>
      <c r="H422" s="587"/>
      <c r="I422" s="587"/>
      <c r="J422" s="587"/>
      <c r="K422" s="587"/>
      <c r="L422" s="588"/>
      <c r="M422" s="34"/>
    </row>
    <row r="423" spans="1:13" ht="20.25" x14ac:dyDescent="0.2">
      <c r="A423" s="32"/>
      <c r="B423" s="124"/>
      <c r="C423" s="586"/>
      <c r="D423" s="587"/>
      <c r="E423" s="587"/>
      <c r="F423" s="587"/>
      <c r="G423" s="587"/>
      <c r="H423" s="587"/>
      <c r="I423" s="587"/>
      <c r="J423" s="587"/>
      <c r="K423" s="587"/>
      <c r="L423" s="588"/>
      <c r="M423" s="34"/>
    </row>
    <row r="424" spans="1:13" ht="20.25" x14ac:dyDescent="0.2">
      <c r="A424" s="32"/>
      <c r="B424" s="124"/>
      <c r="C424" s="586"/>
      <c r="D424" s="587"/>
      <c r="E424" s="587"/>
      <c r="F424" s="587"/>
      <c r="G424" s="587"/>
      <c r="H424" s="587"/>
      <c r="I424" s="587"/>
      <c r="J424" s="587"/>
      <c r="K424" s="587"/>
      <c r="L424" s="588"/>
      <c r="M424" s="34"/>
    </row>
    <row r="425" spans="1:13" ht="20.25" x14ac:dyDescent="0.2">
      <c r="A425" s="32"/>
      <c r="B425" s="124"/>
      <c r="C425" s="586"/>
      <c r="D425" s="587"/>
      <c r="E425" s="587"/>
      <c r="F425" s="587"/>
      <c r="G425" s="587"/>
      <c r="H425" s="587"/>
      <c r="I425" s="587"/>
      <c r="J425" s="587"/>
      <c r="K425" s="587"/>
      <c r="L425" s="588"/>
      <c r="M425" s="34"/>
    </row>
    <row r="426" spans="1:13" ht="21" thickBot="1" x14ac:dyDescent="0.25">
      <c r="A426" s="32"/>
      <c r="B426" s="126"/>
      <c r="C426" s="589"/>
      <c r="D426" s="590"/>
      <c r="E426" s="590"/>
      <c r="F426" s="590"/>
      <c r="G426" s="590"/>
      <c r="H426" s="590"/>
      <c r="I426" s="590"/>
      <c r="J426" s="590"/>
      <c r="K426" s="590"/>
      <c r="L426" s="591"/>
      <c r="M426" s="34"/>
    </row>
    <row r="427" spans="1:13" ht="21" thickBot="1" x14ac:dyDescent="0.25">
      <c r="A427" s="64"/>
      <c r="B427" s="65"/>
      <c r="C427" s="65"/>
      <c r="D427" s="65"/>
      <c r="E427" s="65"/>
      <c r="F427" s="65"/>
      <c r="G427" s="65"/>
      <c r="H427" s="65"/>
      <c r="I427" s="65"/>
      <c r="J427" s="65"/>
      <c r="K427" s="65"/>
      <c r="L427" s="65"/>
      <c r="M427" s="66"/>
    </row>
    <row r="428" spans="1:13" ht="13.5" thickTop="1" x14ac:dyDescent="0.2"/>
  </sheetData>
  <mergeCells count="371">
    <mergeCell ref="B2:L6"/>
    <mergeCell ref="B9:L9"/>
    <mergeCell ref="C26:L26"/>
    <mergeCell ref="C27:L27"/>
    <mergeCell ref="C28:L28"/>
    <mergeCell ref="C29:L29"/>
    <mergeCell ref="C25:L25"/>
    <mergeCell ref="C15:L15"/>
    <mergeCell ref="C16:L16"/>
    <mergeCell ref="C17:L17"/>
    <mergeCell ref="C18:L18"/>
    <mergeCell ref="C19:L19"/>
    <mergeCell ref="C20:L20"/>
    <mergeCell ref="C21:L21"/>
    <mergeCell ref="C22:L22"/>
    <mergeCell ref="C23:L23"/>
    <mergeCell ref="C24:L24"/>
    <mergeCell ref="C10:L10"/>
    <mergeCell ref="C11:L11"/>
    <mergeCell ref="C12:L12"/>
    <mergeCell ref="C13:L13"/>
    <mergeCell ref="C14:L14"/>
    <mergeCell ref="C52:L52"/>
    <mergeCell ref="C53:L53"/>
    <mergeCell ref="C48:L48"/>
    <mergeCell ref="C49:L49"/>
    <mergeCell ref="C38:L38"/>
    <mergeCell ref="C39:L39"/>
    <mergeCell ref="C40:L40"/>
    <mergeCell ref="C41:L41"/>
    <mergeCell ref="C42:L42"/>
    <mergeCell ref="C43:L43"/>
    <mergeCell ref="C44:L44"/>
    <mergeCell ref="C45:L45"/>
    <mergeCell ref="C46:L46"/>
    <mergeCell ref="C47:L47"/>
    <mergeCell ref="C88:L88"/>
    <mergeCell ref="C89:L89"/>
    <mergeCell ref="C90:L90"/>
    <mergeCell ref="C91:L91"/>
    <mergeCell ref="C86:L86"/>
    <mergeCell ref="C87:L87"/>
    <mergeCell ref="C76:L76"/>
    <mergeCell ref="C77:L77"/>
    <mergeCell ref="C78:L78"/>
    <mergeCell ref="C79:L79"/>
    <mergeCell ref="C81:L81"/>
    <mergeCell ref="C82:L82"/>
    <mergeCell ref="C83:L83"/>
    <mergeCell ref="C84:L84"/>
    <mergeCell ref="C85:L85"/>
    <mergeCell ref="C101:L101"/>
    <mergeCell ref="C102:L102"/>
    <mergeCell ref="C103:L103"/>
    <mergeCell ref="C104:L104"/>
    <mergeCell ref="C105:L105"/>
    <mergeCell ref="C106:L106"/>
    <mergeCell ref="C107:L107"/>
    <mergeCell ref="C108:L108"/>
    <mergeCell ref="C109:L109"/>
    <mergeCell ref="C144:L144"/>
    <mergeCell ref="C145:L145"/>
    <mergeCell ref="C146:L146"/>
    <mergeCell ref="C147:L147"/>
    <mergeCell ref="C143:L143"/>
    <mergeCell ref="C133:L133"/>
    <mergeCell ref="C134:L134"/>
    <mergeCell ref="C135:L135"/>
    <mergeCell ref="C136:L136"/>
    <mergeCell ref="C138:L138"/>
    <mergeCell ref="C139:L139"/>
    <mergeCell ref="C140:L140"/>
    <mergeCell ref="C141:L141"/>
    <mergeCell ref="C142:L142"/>
    <mergeCell ref="C170:L170"/>
    <mergeCell ref="C171:L171"/>
    <mergeCell ref="C166:L166"/>
    <mergeCell ref="C167:L167"/>
    <mergeCell ref="C156:L156"/>
    <mergeCell ref="C157:L157"/>
    <mergeCell ref="C158:L158"/>
    <mergeCell ref="C159:L159"/>
    <mergeCell ref="C160:L160"/>
    <mergeCell ref="C161:L161"/>
    <mergeCell ref="C162:L162"/>
    <mergeCell ref="C163:L163"/>
    <mergeCell ref="C164:L164"/>
    <mergeCell ref="C165:L165"/>
    <mergeCell ref="C206:L206"/>
    <mergeCell ref="C207:L207"/>
    <mergeCell ref="C208:L208"/>
    <mergeCell ref="C209:L209"/>
    <mergeCell ref="C204:L204"/>
    <mergeCell ref="C205:L205"/>
    <mergeCell ref="C194:L194"/>
    <mergeCell ref="C195:L195"/>
    <mergeCell ref="C196:L196"/>
    <mergeCell ref="C197:L197"/>
    <mergeCell ref="C199:L199"/>
    <mergeCell ref="C200:L200"/>
    <mergeCell ref="C201:L201"/>
    <mergeCell ref="C202:L202"/>
    <mergeCell ref="C203:L203"/>
    <mergeCell ref="C232:L232"/>
    <mergeCell ref="C233:L233"/>
    <mergeCell ref="C228:L228"/>
    <mergeCell ref="C229:L229"/>
    <mergeCell ref="C218:L218"/>
    <mergeCell ref="C219:L219"/>
    <mergeCell ref="C220:L220"/>
    <mergeCell ref="C221:L221"/>
    <mergeCell ref="C222:L222"/>
    <mergeCell ref="C223:L223"/>
    <mergeCell ref="C224:L224"/>
    <mergeCell ref="C225:L225"/>
    <mergeCell ref="C226:L226"/>
    <mergeCell ref="C227:L227"/>
    <mergeCell ref="C268:L268"/>
    <mergeCell ref="C269:L269"/>
    <mergeCell ref="C270:L270"/>
    <mergeCell ref="C271:L271"/>
    <mergeCell ref="C266:L266"/>
    <mergeCell ref="C267:L267"/>
    <mergeCell ref="C256:L256"/>
    <mergeCell ref="C257:L257"/>
    <mergeCell ref="C258:L258"/>
    <mergeCell ref="C259:L259"/>
    <mergeCell ref="C261:L261"/>
    <mergeCell ref="C262:L262"/>
    <mergeCell ref="C263:L263"/>
    <mergeCell ref="C264:L264"/>
    <mergeCell ref="C265:L265"/>
    <mergeCell ref="C294:L294"/>
    <mergeCell ref="C295:L295"/>
    <mergeCell ref="C290:L290"/>
    <mergeCell ref="C291:L291"/>
    <mergeCell ref="C280:L280"/>
    <mergeCell ref="C281:L281"/>
    <mergeCell ref="C282:L282"/>
    <mergeCell ref="C283:L283"/>
    <mergeCell ref="C284:L284"/>
    <mergeCell ref="C285:L285"/>
    <mergeCell ref="C286:L286"/>
    <mergeCell ref="C287:L287"/>
    <mergeCell ref="C288:L288"/>
    <mergeCell ref="C289:L289"/>
    <mergeCell ref="C330:L330"/>
    <mergeCell ref="C331:L331"/>
    <mergeCell ref="C332:L332"/>
    <mergeCell ref="C333:L333"/>
    <mergeCell ref="C328:L328"/>
    <mergeCell ref="C329:L329"/>
    <mergeCell ref="C318:L318"/>
    <mergeCell ref="C319:L319"/>
    <mergeCell ref="C320:L320"/>
    <mergeCell ref="C321:L321"/>
    <mergeCell ref="C323:L323"/>
    <mergeCell ref="C324:L324"/>
    <mergeCell ref="C325:L325"/>
    <mergeCell ref="C326:L326"/>
    <mergeCell ref="C327:L327"/>
    <mergeCell ref="C354:L354"/>
    <mergeCell ref="C355:L355"/>
    <mergeCell ref="C356:L356"/>
    <mergeCell ref="C357:L357"/>
    <mergeCell ref="C352:L352"/>
    <mergeCell ref="C353:L353"/>
    <mergeCell ref="C342:L342"/>
    <mergeCell ref="C343:L343"/>
    <mergeCell ref="C344:L344"/>
    <mergeCell ref="C345:L345"/>
    <mergeCell ref="C346:L346"/>
    <mergeCell ref="C347:L347"/>
    <mergeCell ref="C348:L348"/>
    <mergeCell ref="C349:L349"/>
    <mergeCell ref="C350:L350"/>
    <mergeCell ref="C351:L351"/>
    <mergeCell ref="C402:L402"/>
    <mergeCell ref="C403:L403"/>
    <mergeCell ref="C392:L392"/>
    <mergeCell ref="C393:L393"/>
    <mergeCell ref="C394:L394"/>
    <mergeCell ref="C395:L395"/>
    <mergeCell ref="C390:L390"/>
    <mergeCell ref="C391:L391"/>
    <mergeCell ref="C380:L380"/>
    <mergeCell ref="C381:L381"/>
    <mergeCell ref="C382:L382"/>
    <mergeCell ref="C383:L383"/>
    <mergeCell ref="C397:L397"/>
    <mergeCell ref="C398:L398"/>
    <mergeCell ref="C399:L399"/>
    <mergeCell ref="C400:L400"/>
    <mergeCell ref="C416:L416"/>
    <mergeCell ref="C417:L417"/>
    <mergeCell ref="C418:L418"/>
    <mergeCell ref="C419:L419"/>
    <mergeCell ref="C414:L414"/>
    <mergeCell ref="C415:L415"/>
    <mergeCell ref="C404:L404"/>
    <mergeCell ref="C405:L405"/>
    <mergeCell ref="C406:L406"/>
    <mergeCell ref="C407:L407"/>
    <mergeCell ref="C30:L30"/>
    <mergeCell ref="C31:L31"/>
    <mergeCell ref="C32:L32"/>
    <mergeCell ref="C33:L33"/>
    <mergeCell ref="C34:L34"/>
    <mergeCell ref="C35:L35"/>
    <mergeCell ref="C36:L36"/>
    <mergeCell ref="C37:L37"/>
    <mergeCell ref="C80:L80"/>
    <mergeCell ref="C54:L54"/>
    <mergeCell ref="C55:L55"/>
    <mergeCell ref="C56:L56"/>
    <mergeCell ref="C57:L57"/>
    <mergeCell ref="C58:L58"/>
    <mergeCell ref="C59:L59"/>
    <mergeCell ref="B70:L70"/>
    <mergeCell ref="C72:L72"/>
    <mergeCell ref="C73:L73"/>
    <mergeCell ref="C74:L74"/>
    <mergeCell ref="C75:L75"/>
    <mergeCell ref="B63:L67"/>
    <mergeCell ref="C60:L60"/>
    <mergeCell ref="C50:L50"/>
    <mergeCell ref="C51:L51"/>
    <mergeCell ref="C92:L92"/>
    <mergeCell ref="C93:L93"/>
    <mergeCell ref="C94:L94"/>
    <mergeCell ref="C95:L95"/>
    <mergeCell ref="C96:L96"/>
    <mergeCell ref="C97:L97"/>
    <mergeCell ref="C98:L98"/>
    <mergeCell ref="C99:L99"/>
    <mergeCell ref="C137:L137"/>
    <mergeCell ref="C116:L116"/>
    <mergeCell ref="C117:L117"/>
    <mergeCell ref="C118:L118"/>
    <mergeCell ref="C119:L119"/>
    <mergeCell ref="C120:L120"/>
    <mergeCell ref="C121:L121"/>
    <mergeCell ref="B124:L128"/>
    <mergeCell ref="B131:L131"/>
    <mergeCell ref="C112:L112"/>
    <mergeCell ref="C113:L113"/>
    <mergeCell ref="C114:L114"/>
    <mergeCell ref="C115:L115"/>
    <mergeCell ref="C110:L110"/>
    <mergeCell ref="C111:L111"/>
    <mergeCell ref="C100:L100"/>
    <mergeCell ref="C148:L148"/>
    <mergeCell ref="C149:L149"/>
    <mergeCell ref="C150:L150"/>
    <mergeCell ref="C151:L151"/>
    <mergeCell ref="C152:L152"/>
    <mergeCell ref="C153:L153"/>
    <mergeCell ref="C154:L154"/>
    <mergeCell ref="C155:L155"/>
    <mergeCell ref="C198:L198"/>
    <mergeCell ref="C172:L172"/>
    <mergeCell ref="C173:L173"/>
    <mergeCell ref="C174:L174"/>
    <mergeCell ref="C175:L175"/>
    <mergeCell ref="C176:L176"/>
    <mergeCell ref="C177:L177"/>
    <mergeCell ref="B185:L189"/>
    <mergeCell ref="B192:L192"/>
    <mergeCell ref="C180:L180"/>
    <mergeCell ref="C181:L181"/>
    <mergeCell ref="C182:L182"/>
    <mergeCell ref="C178:L178"/>
    <mergeCell ref="C179:L179"/>
    <mergeCell ref="C168:L168"/>
    <mergeCell ref="C169:L169"/>
    <mergeCell ref="C210:L210"/>
    <mergeCell ref="C211:L211"/>
    <mergeCell ref="C212:L212"/>
    <mergeCell ref="C213:L213"/>
    <mergeCell ref="C214:L214"/>
    <mergeCell ref="C215:L215"/>
    <mergeCell ref="C216:L216"/>
    <mergeCell ref="C217:L217"/>
    <mergeCell ref="C260:L260"/>
    <mergeCell ref="C234:L234"/>
    <mergeCell ref="C235:L235"/>
    <mergeCell ref="C236:L236"/>
    <mergeCell ref="C237:L237"/>
    <mergeCell ref="C238:L238"/>
    <mergeCell ref="C239:L239"/>
    <mergeCell ref="B246:L250"/>
    <mergeCell ref="B253:L253"/>
    <mergeCell ref="C242:L242"/>
    <mergeCell ref="C243:L243"/>
    <mergeCell ref="C255:L255"/>
    <mergeCell ref="C240:L240"/>
    <mergeCell ref="C241:L241"/>
    <mergeCell ref="C230:L230"/>
    <mergeCell ref="C231:L231"/>
    <mergeCell ref="C272:L272"/>
    <mergeCell ref="C273:L273"/>
    <mergeCell ref="C274:L274"/>
    <mergeCell ref="C275:L275"/>
    <mergeCell ref="C276:L276"/>
    <mergeCell ref="C277:L277"/>
    <mergeCell ref="C278:L278"/>
    <mergeCell ref="C279:L279"/>
    <mergeCell ref="C322:L322"/>
    <mergeCell ref="C296:L296"/>
    <mergeCell ref="C297:L297"/>
    <mergeCell ref="C298:L298"/>
    <mergeCell ref="C299:L299"/>
    <mergeCell ref="C300:L300"/>
    <mergeCell ref="C301:L301"/>
    <mergeCell ref="B307:L311"/>
    <mergeCell ref="B314:L314"/>
    <mergeCell ref="C304:L304"/>
    <mergeCell ref="C316:L316"/>
    <mergeCell ref="C317:L317"/>
    <mergeCell ref="C302:L302"/>
    <mergeCell ref="C303:L303"/>
    <mergeCell ref="C292:L292"/>
    <mergeCell ref="C293:L293"/>
    <mergeCell ref="C334:L334"/>
    <mergeCell ref="C335:L335"/>
    <mergeCell ref="C336:L336"/>
    <mergeCell ref="C337:L337"/>
    <mergeCell ref="C338:L338"/>
    <mergeCell ref="C339:L339"/>
    <mergeCell ref="C340:L340"/>
    <mergeCell ref="C341:L341"/>
    <mergeCell ref="C401:L401"/>
    <mergeCell ref="C384:L384"/>
    <mergeCell ref="C385:L385"/>
    <mergeCell ref="C386:L386"/>
    <mergeCell ref="C387:L387"/>
    <mergeCell ref="C388:L388"/>
    <mergeCell ref="C389:L389"/>
    <mergeCell ref="C358:L358"/>
    <mergeCell ref="C359:L359"/>
    <mergeCell ref="C360:L360"/>
    <mergeCell ref="C361:L361"/>
    <mergeCell ref="C362:L362"/>
    <mergeCell ref="C363:L363"/>
    <mergeCell ref="B368:L372"/>
    <mergeCell ref="B375:L375"/>
    <mergeCell ref="C377:L377"/>
    <mergeCell ref="C378:L378"/>
    <mergeCell ref="C379:L379"/>
    <mergeCell ref="C364:L364"/>
    <mergeCell ref="C365:L365"/>
    <mergeCell ref="C71:L71"/>
    <mergeCell ref="C426:L426"/>
    <mergeCell ref="C376:L376"/>
    <mergeCell ref="C315:L315"/>
    <mergeCell ref="C254:L254"/>
    <mergeCell ref="C193:L193"/>
    <mergeCell ref="C132:L132"/>
    <mergeCell ref="C420:L420"/>
    <mergeCell ref="C421:L421"/>
    <mergeCell ref="C422:L422"/>
    <mergeCell ref="C423:L423"/>
    <mergeCell ref="C424:L424"/>
    <mergeCell ref="C425:L425"/>
    <mergeCell ref="C408:L408"/>
    <mergeCell ref="C409:L409"/>
    <mergeCell ref="C410:L410"/>
    <mergeCell ref="C411:L411"/>
    <mergeCell ref="C412:L412"/>
    <mergeCell ref="C413:L413"/>
    <mergeCell ref="C396:L396"/>
  </mergeCells>
  <pageMargins left="0.37" right="0.37" top="0.5" bottom="0.5" header="0.5" footer="0.5"/>
  <pageSetup scale="64"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32</vt:i4>
      </vt:variant>
    </vt:vector>
  </HeadingPairs>
  <TitlesOfParts>
    <vt:vector size="61" baseType="lpstr">
      <vt:lpstr>Pre Job</vt:lpstr>
      <vt:lpstr>Stage Generator</vt:lpstr>
      <vt:lpstr>Daily Log</vt:lpstr>
      <vt:lpstr>Well A Well Summary</vt:lpstr>
      <vt:lpstr>Well #2</vt:lpstr>
      <vt:lpstr>Well #3</vt:lpstr>
      <vt:lpstr>Well #4</vt:lpstr>
      <vt:lpstr>Well #5</vt:lpstr>
      <vt:lpstr>JSA</vt:lpstr>
      <vt:lpstr>Well A Stage 1</vt:lpstr>
      <vt:lpstr>Well A Stage 2</vt:lpstr>
      <vt:lpstr>Well A Stage 3</vt:lpstr>
      <vt:lpstr>Well A Stage 4</vt:lpstr>
      <vt:lpstr>Well A Stage 5</vt:lpstr>
      <vt:lpstr>Well A Stage 6</vt:lpstr>
      <vt:lpstr>Well A Stage 7</vt:lpstr>
      <vt:lpstr>Well A Stage 8</vt:lpstr>
      <vt:lpstr>Well A Stage 9</vt:lpstr>
      <vt:lpstr>Well A Stage 10</vt:lpstr>
      <vt:lpstr>Well A Stage 11</vt:lpstr>
      <vt:lpstr>Well A Stage 12</vt:lpstr>
      <vt:lpstr>Well A Stage 13</vt:lpstr>
      <vt:lpstr>Well A Stage 14</vt:lpstr>
      <vt:lpstr>Well A Stage 15</vt:lpstr>
      <vt:lpstr>Well A Stage 16</vt:lpstr>
      <vt:lpstr>Well A Stage 17</vt:lpstr>
      <vt:lpstr>Well A Stage 18</vt:lpstr>
      <vt:lpstr>Well A Stage 19</vt:lpstr>
      <vt:lpstr>Well A Stage 20</vt:lpstr>
      <vt:lpstr>Company_Name</vt:lpstr>
      <vt:lpstr>'Daily Log'!Print_Area</vt:lpstr>
      <vt:lpstr>'Pre Job'!Print_Area</vt:lpstr>
      <vt:lpstr>'Revision List'!Print_Area</vt:lpstr>
      <vt:lpstr>'Stage Generator'!Print_Area</vt:lpstr>
      <vt:lpstr>Template!Print_Area</vt:lpstr>
      <vt:lpstr>'Well #2'!Print_Area</vt:lpstr>
      <vt:lpstr>'Well #3'!Print_Area</vt:lpstr>
      <vt:lpstr>'Well #4'!Print_Area</vt:lpstr>
      <vt:lpstr>'Well #5'!Print_Area</vt:lpstr>
      <vt:lpstr>'Well A Stage 1'!Print_Area</vt:lpstr>
      <vt:lpstr>'Well A Stage 10'!Print_Area</vt:lpstr>
      <vt:lpstr>'Well A Stage 11'!Print_Area</vt:lpstr>
      <vt:lpstr>'Well A Stage 12'!Print_Area</vt:lpstr>
      <vt:lpstr>'Well A Stage 13'!Print_Area</vt:lpstr>
      <vt:lpstr>'Well A Stage 14'!Print_Area</vt:lpstr>
      <vt:lpstr>'Well A Stage 15'!Print_Area</vt:lpstr>
      <vt:lpstr>'Well A Stage 16'!Print_Area</vt:lpstr>
      <vt:lpstr>'Well A Stage 17'!Print_Area</vt:lpstr>
      <vt:lpstr>'Well A Stage 18'!Print_Area</vt:lpstr>
      <vt:lpstr>'Well A Stage 19'!Print_Area</vt:lpstr>
      <vt:lpstr>'Well A Stage 2'!Print_Area</vt:lpstr>
      <vt:lpstr>'Well A Stage 20'!Print_Area</vt:lpstr>
      <vt:lpstr>'Well A Stage 3'!Print_Area</vt:lpstr>
      <vt:lpstr>'Well A Stage 4'!Print_Area</vt:lpstr>
      <vt:lpstr>'Well A Stage 5'!Print_Area</vt:lpstr>
      <vt:lpstr>'Well A Stage 6'!Print_Area</vt:lpstr>
      <vt:lpstr>'Well A Stage 7'!Print_Area</vt:lpstr>
      <vt:lpstr>'Well A Stage 8'!Print_Area</vt:lpstr>
      <vt:lpstr>'Well A Stage 9'!Print_Area</vt:lpstr>
      <vt:lpstr>'Well A Well Summary'!Print_Area</vt:lpstr>
      <vt:lpstr>Well_Name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Largent</dc:creator>
  <cp:lastModifiedBy>jswan</cp:lastModifiedBy>
  <cp:lastPrinted>2017-08-10T15:30:49Z</cp:lastPrinted>
  <dcterms:created xsi:type="dcterms:W3CDTF">2017-05-07T22:50:54Z</dcterms:created>
  <dcterms:modified xsi:type="dcterms:W3CDTF">2018-06-18T22:04:19Z</dcterms:modified>
</cp:coreProperties>
</file>